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9e0039cbe6e5533/Documentos/TRABAJOS MAESTRIA/1 SEMESTRE/SISTEMAS DE POTENCIA/PROYECTO 3/"/>
    </mc:Choice>
  </mc:AlternateContent>
  <xr:revisionPtr revIDLastSave="3" documentId="13_ncr:1_{4141E647-42B8-C54C-943F-B530C3D418C2}" xr6:coauthVersionLast="47" xr6:coauthVersionMax="47" xr10:uidLastSave="{149CF210-DBEB-4FFA-9161-339084C6C369}"/>
  <bookViews>
    <workbookView xWindow="-120" yWindow="-120" windowWidth="29040" windowHeight="15720" xr2:uid="{00000000-000D-0000-FFFF-FFFF00000000}"/>
  </bookViews>
  <sheets>
    <sheet name="garver 6 Mixed-Integer" sheetId="4" r:id="rId1"/>
  </sheets>
  <definedNames>
    <definedName name="_B12" localSheetId="0">'garver 6 Mixed-Integer'!$H$4</definedName>
    <definedName name="_B14" localSheetId="0">'garver 6 Mixed-Integer'!$H$5</definedName>
    <definedName name="_B15" localSheetId="0">'garver 6 Mixed-Integer'!$H$6</definedName>
    <definedName name="_B23" localSheetId="0">'garver 6 Mixed-Integer'!$H$7</definedName>
    <definedName name="_B24" localSheetId="0">'garver 6 Mixed-Integer'!$H$8</definedName>
    <definedName name="_B35" localSheetId="0">'garver 6 Mixed-Integer'!$H$10</definedName>
    <definedName name="_B62">'garver 6 Mixed-Integer'!$H$12</definedName>
    <definedName name="_B64">'garver 6 Mixed-Integer'!$H$11</definedName>
    <definedName name="_B65">'garver 6 Mixed-Integer'!$H$13</definedName>
    <definedName name="solver_adj" localSheetId="0" hidden="1">'garver 6 Mixed-Integer'!$U$3:$U$18,'garver 6 Mixed-Integer'!$G$21:$G$42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100</definedName>
    <definedName name="solver_lhs1" localSheetId="0" hidden="1">'garver 6 Mixed-Integer'!$AA$21:$AA$26</definedName>
    <definedName name="solver_lhs10" localSheetId="0" hidden="1">'garver 6 Mixed-Integer'!$U$3:$U$18</definedName>
    <definedName name="solver_lhs11" localSheetId="0" hidden="1">'garver 6 Mixed-Integer'!$U$3:$U$18</definedName>
    <definedName name="solver_lhs12" localSheetId="0" hidden="1">'garver 6 Mixed-Integer'!$U$3:$U$18</definedName>
    <definedName name="solver_lhs2" localSheetId="0" hidden="1">'garver 6 Mixed-Integer'!$G$25</definedName>
    <definedName name="solver_lhs3" localSheetId="0" hidden="1">'garver 6 Mixed-Integer'!$K$27:$K$48</definedName>
    <definedName name="solver_lhs4" localSheetId="0" hidden="1">'garver 6 Mixed-Integer'!$K$27:$K$48</definedName>
    <definedName name="solver_lhs5" localSheetId="0" hidden="1">'garver 6 Mixed-Integer'!$K$49:$K$52</definedName>
    <definedName name="solver_lhs6" localSheetId="0" hidden="1">'garver 6 Mixed-Integer'!$K$49:$K$52</definedName>
    <definedName name="solver_lhs7" localSheetId="0" hidden="1">'garver 6 Mixed-Integer'!$T$29:$T$32</definedName>
    <definedName name="solver_lhs8" localSheetId="0" hidden="1">'garver 6 Mixed-Integer'!$U$3:$U$18</definedName>
    <definedName name="solver_lhs9" localSheetId="0" hidden="1">'garver 6 Mixed-Integer'!$U$3:$U$18</definedName>
    <definedName name="solver_lin" localSheetId="0" hidden="1">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8</definedName>
    <definedName name="solver_nwt" localSheetId="0" hidden="1">1</definedName>
    <definedName name="solver_opt" localSheetId="0" hidden="1">'garver 6 Mixed-Integer'!$X$19</definedName>
    <definedName name="solver_pre" localSheetId="0" hidden="1">0.000001</definedName>
    <definedName name="solver_rbv" localSheetId="0" hidden="1">2</definedName>
    <definedName name="solver_rel1" localSheetId="0" hidden="1">2</definedName>
    <definedName name="solver_rel10" localSheetId="0" hidden="1">5</definedName>
    <definedName name="solver_rel11" localSheetId="0" hidden="1">5</definedName>
    <definedName name="solver_rel12" localSheetId="0" hidden="1">5</definedName>
    <definedName name="solver_rel2" localSheetId="0" hidden="1">2</definedName>
    <definedName name="solver_rel3" localSheetId="0" hidden="1">1</definedName>
    <definedName name="solver_rel4" localSheetId="0" hidden="1">3</definedName>
    <definedName name="solver_rel5" localSheetId="0" hidden="1">1</definedName>
    <definedName name="solver_rel6" localSheetId="0" hidden="1">3</definedName>
    <definedName name="solver_rel7" localSheetId="0" hidden="1">1</definedName>
    <definedName name="solver_rel8" localSheetId="0" hidden="1">5</definedName>
    <definedName name="solver_rel9" localSheetId="0" hidden="1">5</definedName>
    <definedName name="solver_rhs1" localSheetId="0" hidden="1">0</definedName>
    <definedName name="solver_rhs10" localSheetId="0" hidden="1">"binario"</definedName>
    <definedName name="solver_rhs11" localSheetId="0" hidden="1">"binario"</definedName>
    <definedName name="solver_rhs12" localSheetId="0" hidden="1">"binario"</definedName>
    <definedName name="solver_rhs2" localSheetId="0" hidden="1">0</definedName>
    <definedName name="solver_rhs3" localSheetId="0" hidden="1">'garver 6 Mixed-Integer'!$L$27:$L$48</definedName>
    <definedName name="solver_rhs4" localSheetId="0" hidden="1">'garver 6 Mixed-Integer'!$J$27:$J$48</definedName>
    <definedName name="solver_rhs5" localSheetId="0" hidden="1">'garver 6 Mixed-Integer'!$L$49:$L$52</definedName>
    <definedName name="solver_rhs6" localSheetId="0" hidden="1">'garver 6 Mixed-Integer'!$J$49:$J$52</definedName>
    <definedName name="solver_rhs7" localSheetId="0" hidden="1">1</definedName>
    <definedName name="solver_rhs8" localSheetId="0" hidden="1">"binary"</definedName>
    <definedName name="solver_rhs9" localSheetId="0" hidden="1">"binario"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100</definedName>
    <definedName name="solver_tol" localSheetId="0" hidden="1">0.05</definedName>
    <definedName name="solver_typ" localSheetId="0" hidden="1">2</definedName>
    <definedName name="solver_val" localSheetId="0" hidden="1">0</definedName>
    <definedName name="solver_ver" localSheetId="0" hidden="1">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49" i="4" l="1"/>
  <c r="Y26" i="4"/>
  <c r="Y25" i="4"/>
  <c r="X26" i="4"/>
  <c r="X25" i="4"/>
  <c r="W26" i="4"/>
  <c r="W25" i="4"/>
  <c r="N43" i="4"/>
  <c r="N27" i="4"/>
  <c r="P9" i="4"/>
  <c r="K47" i="4"/>
  <c r="AE7" i="4"/>
  <c r="AE5" i="4"/>
  <c r="K43" i="4"/>
  <c r="AF9" i="4"/>
  <c r="K46" i="4"/>
  <c r="AD13" i="4"/>
  <c r="K48" i="4"/>
  <c r="AF19" i="4"/>
  <c r="F33" i="4"/>
  <c r="K33" i="4"/>
  <c r="AE22" i="4"/>
  <c r="F36" i="4"/>
  <c r="K36" i="4"/>
  <c r="AF24" i="4"/>
  <c r="K44" i="4"/>
  <c r="AH18" i="4"/>
  <c r="N47" i="4"/>
  <c r="J47" i="4"/>
  <c r="F10" i="4"/>
  <c r="H10" i="4"/>
  <c r="F27" i="4"/>
  <c r="K27" i="4"/>
  <c r="K23" i="4"/>
  <c r="C25" i="4"/>
  <c r="E23" i="4"/>
  <c r="F7" i="4"/>
  <c r="H7" i="4"/>
  <c r="C23" i="4"/>
  <c r="X3" i="4"/>
  <c r="X4" i="4"/>
  <c r="X5" i="4"/>
  <c r="T29" i="4"/>
  <c r="L52" i="4"/>
  <c r="L51" i="4"/>
  <c r="L50" i="4"/>
  <c r="L49" i="4"/>
  <c r="K52" i="4"/>
  <c r="K51" i="4"/>
  <c r="K50" i="4"/>
  <c r="F13" i="4"/>
  <c r="H13" i="4"/>
  <c r="R3" i="4"/>
  <c r="Z21" i="4"/>
  <c r="R4" i="4"/>
  <c r="Z22" i="4"/>
  <c r="F12" i="4"/>
  <c r="H12" i="4"/>
  <c r="Q26" i="4"/>
  <c r="Q22" i="4"/>
  <c r="M26" i="4"/>
  <c r="P26" i="4"/>
  <c r="E9" i="4"/>
  <c r="F9" i="4"/>
  <c r="I9" i="4"/>
  <c r="N28" i="4"/>
  <c r="N29" i="4"/>
  <c r="E11" i="4"/>
  <c r="F11" i="4"/>
  <c r="I11" i="4"/>
  <c r="N30" i="4"/>
  <c r="N31" i="4"/>
  <c r="N32" i="4"/>
  <c r="N33" i="4"/>
  <c r="N34" i="4"/>
  <c r="E12" i="4"/>
  <c r="I12" i="4"/>
  <c r="N35" i="4"/>
  <c r="N36" i="4"/>
  <c r="N37" i="4"/>
  <c r="N38" i="4"/>
  <c r="N39" i="4"/>
  <c r="E13" i="4"/>
  <c r="I13" i="4"/>
  <c r="N40" i="4"/>
  <c r="N41" i="4"/>
  <c r="N42" i="4"/>
  <c r="E4" i="4"/>
  <c r="F4" i="4"/>
  <c r="I4" i="4"/>
  <c r="E5" i="4"/>
  <c r="F5" i="4"/>
  <c r="I5" i="4"/>
  <c r="N44" i="4"/>
  <c r="E6" i="4"/>
  <c r="F6" i="4"/>
  <c r="I6" i="4"/>
  <c r="N45" i="4"/>
  <c r="E7" i="4"/>
  <c r="I7" i="4"/>
  <c r="N46" i="4"/>
  <c r="E8" i="4"/>
  <c r="F8" i="4"/>
  <c r="I8" i="4"/>
  <c r="N48" i="4"/>
  <c r="N49" i="4"/>
  <c r="E10" i="4"/>
  <c r="I10" i="4"/>
  <c r="J49" i="4"/>
  <c r="J50" i="4"/>
  <c r="J51" i="4"/>
  <c r="F41" i="4"/>
  <c r="L28" i="4"/>
  <c r="J28" i="4"/>
  <c r="L29" i="4"/>
  <c r="J29" i="4"/>
  <c r="L30" i="4"/>
  <c r="J30" i="4"/>
  <c r="L31" i="4"/>
  <c r="J31" i="4"/>
  <c r="L32" i="4"/>
  <c r="J32" i="4"/>
  <c r="L33" i="4"/>
  <c r="J33" i="4"/>
  <c r="L34" i="4"/>
  <c r="J34" i="4"/>
  <c r="L35" i="4"/>
  <c r="J35" i="4"/>
  <c r="L36" i="4"/>
  <c r="J36" i="4"/>
  <c r="L37" i="4"/>
  <c r="J37" i="4"/>
  <c r="L38" i="4"/>
  <c r="J38" i="4"/>
  <c r="L39" i="4"/>
  <c r="J39" i="4"/>
  <c r="L40" i="4"/>
  <c r="J40" i="4"/>
  <c r="L41" i="4"/>
  <c r="J41" i="4"/>
  <c r="L42" i="4"/>
  <c r="J42" i="4"/>
  <c r="J43" i="4"/>
  <c r="J44" i="4"/>
  <c r="J45" i="4"/>
  <c r="J46" i="4"/>
  <c r="J48" i="4"/>
  <c r="L27" i="4"/>
  <c r="J27" i="4"/>
  <c r="H8" i="4"/>
  <c r="H6" i="4"/>
  <c r="K45" i="4"/>
  <c r="H5" i="4"/>
  <c r="H4" i="4"/>
  <c r="H11" i="4"/>
  <c r="F28" i="4"/>
  <c r="K28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T32" i="4"/>
  <c r="T31" i="4"/>
  <c r="T30" i="4"/>
  <c r="F29" i="4"/>
  <c r="K29" i="4"/>
  <c r="F30" i="4"/>
  <c r="K30" i="4"/>
  <c r="F31" i="4"/>
  <c r="K31" i="4"/>
  <c r="F32" i="4"/>
  <c r="K32" i="4"/>
  <c r="F34" i="4"/>
  <c r="K34" i="4"/>
  <c r="F35" i="4"/>
  <c r="K35" i="4"/>
  <c r="F37" i="4"/>
  <c r="K37" i="4"/>
  <c r="F38" i="4"/>
  <c r="K38" i="4"/>
  <c r="F39" i="4"/>
  <c r="K39" i="4"/>
  <c r="F40" i="4"/>
  <c r="K40" i="4"/>
  <c r="K41" i="4"/>
  <c r="F42" i="4"/>
  <c r="K42" i="4"/>
  <c r="J23" i="4"/>
  <c r="A21" i="4"/>
  <c r="B21" i="4"/>
  <c r="D21" i="4"/>
  <c r="E21" i="4"/>
  <c r="A22" i="4"/>
  <c r="B22" i="4"/>
  <c r="C22" i="4"/>
  <c r="D22" i="4"/>
  <c r="A23" i="4"/>
  <c r="B23" i="4"/>
  <c r="A24" i="4"/>
  <c r="B24" i="4"/>
  <c r="C24" i="4"/>
  <c r="D24" i="4"/>
  <c r="A25" i="4"/>
  <c r="D25" i="4"/>
  <c r="E25" i="4"/>
  <c r="I21" i="4" a="1"/>
  <c r="I22" i="4"/>
  <c r="M22" i="4"/>
  <c r="N26" i="4"/>
  <c r="N22" i="4"/>
  <c r="O26" i="4"/>
  <c r="O22" i="4"/>
  <c r="P22" i="4"/>
  <c r="AA22" i="4"/>
  <c r="I23" i="4"/>
  <c r="L23" i="4"/>
  <c r="R5" i="4"/>
  <c r="Z23" i="4"/>
  <c r="AA23" i="4"/>
  <c r="I24" i="4"/>
  <c r="R26" i="4"/>
  <c r="R24" i="4"/>
  <c r="S26" i="4"/>
  <c r="S24" i="4"/>
  <c r="T26" i="4"/>
  <c r="T24" i="4"/>
  <c r="U26" i="4"/>
  <c r="U24" i="4"/>
  <c r="V26" i="4"/>
  <c r="V24" i="4"/>
  <c r="R6" i="4"/>
  <c r="Z24" i="4"/>
  <c r="AA24" i="4"/>
  <c r="J25" i="4"/>
  <c r="I25" i="4"/>
  <c r="K25" i="4"/>
  <c r="L25" i="4"/>
  <c r="R7" i="4"/>
  <c r="Z25" i="4"/>
  <c r="AA25" i="4"/>
  <c r="I26" i="4"/>
  <c r="R8" i="4"/>
  <c r="Z26" i="4"/>
  <c r="AA26" i="4"/>
  <c r="I21" i="4"/>
  <c r="AA21" i="4"/>
  <c r="X19" i="4"/>
  <c r="G11" i="4"/>
  <c r="G12" i="4"/>
  <c r="G13" i="4"/>
  <c r="R9" i="4"/>
  <c r="Q9" i="4"/>
  <c r="H9" i="4"/>
  <c r="G9" i="4"/>
  <c r="G10" i="4"/>
  <c r="R10" i="4"/>
  <c r="Q10" i="4"/>
  <c r="P10" i="4"/>
</calcChain>
</file>

<file path=xl/sharedStrings.xml><?xml version="1.0" encoding="utf-8"?>
<sst xmlns="http://schemas.openxmlformats.org/spreadsheetml/2006/main" count="164" uniqueCount="114">
  <si>
    <t>1-2</t>
  </si>
  <si>
    <t>1-4</t>
  </si>
  <si>
    <t>1-5</t>
  </si>
  <si>
    <t>2-3</t>
  </si>
  <si>
    <t>2-4</t>
  </si>
  <si>
    <t>3-5</t>
  </si>
  <si>
    <t>P</t>
  </si>
  <si>
    <t>Mismatch</t>
  </si>
  <si>
    <t># of 100MW lines</t>
  </si>
  <si>
    <t>Cost</t>
  </si>
  <si>
    <t>OverallCost</t>
  </si>
  <si>
    <t>6-4</t>
  </si>
  <si>
    <t>6-2</t>
  </si>
  <si>
    <t>6-5</t>
  </si>
  <si>
    <t>subject to: 1) balance</t>
  </si>
  <si>
    <t>Corridor</t>
  </si>
  <si>
    <t>x</t>
  </si>
  <si>
    <t>cap mw</t>
  </si>
  <si>
    <t>R+JX</t>
  </si>
  <si>
    <t>Line structure</t>
  </si>
  <si>
    <t>Existing Line</t>
  </si>
  <si>
    <t>length km</t>
  </si>
  <si>
    <t>pu/km</t>
  </si>
  <si>
    <t>+j</t>
  </si>
  <si>
    <t>Gij (pu)</t>
  </si>
  <si>
    <t>Sbase=</t>
  </si>
  <si>
    <r>
      <rPr>
        <sz val="11"/>
        <color theme="1"/>
        <rFont val="Symbol"/>
        <family val="1"/>
        <charset val="2"/>
      </rPr>
      <t>q</t>
    </r>
    <r>
      <rPr>
        <sz val="11"/>
        <color theme="1"/>
        <rFont val="Calibri"/>
        <family val="2"/>
        <scheme val="minor"/>
      </rPr>
      <t>1</t>
    </r>
  </si>
  <si>
    <r>
      <rPr>
        <sz val="11"/>
        <color theme="1"/>
        <rFont val="Symbol"/>
        <family val="1"/>
        <charset val="2"/>
      </rPr>
      <t>q</t>
    </r>
    <r>
      <rPr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/>
    </r>
  </si>
  <si>
    <r>
      <rPr>
        <sz val="11"/>
        <color theme="1"/>
        <rFont val="Symbol"/>
        <family val="1"/>
        <charset val="2"/>
      </rPr>
      <t>q</t>
    </r>
    <r>
      <rPr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/>
    </r>
  </si>
  <si>
    <r>
      <rPr>
        <sz val="11"/>
        <color theme="1"/>
        <rFont val="Symbol"/>
        <family val="1"/>
        <charset val="2"/>
      </rPr>
      <t>q</t>
    </r>
    <r>
      <rPr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/>
    </r>
  </si>
  <si>
    <r>
      <rPr>
        <sz val="11"/>
        <color theme="1"/>
        <rFont val="Symbol"/>
        <family val="1"/>
        <charset val="2"/>
      </rPr>
      <t>q</t>
    </r>
    <r>
      <rPr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/>
    </r>
  </si>
  <si>
    <t>Bij=1/Xij</t>
  </si>
  <si>
    <r>
      <rPr>
        <sz val="11"/>
        <color theme="1"/>
        <rFont val="Symbol"/>
        <family val="1"/>
        <charset val="2"/>
      </rPr>
      <t>q</t>
    </r>
    <r>
      <rPr>
        <sz val="11"/>
        <color theme="1"/>
        <rFont val="Calibri"/>
        <family val="2"/>
        <scheme val="minor"/>
      </rPr>
      <t>6</t>
    </r>
  </si>
  <si>
    <t>I351</t>
  </si>
  <si>
    <t>I352</t>
  </si>
  <si>
    <t>I621</t>
  </si>
  <si>
    <t>I622</t>
  </si>
  <si>
    <t>I623</t>
  </si>
  <si>
    <t>I624</t>
  </si>
  <si>
    <t>I625</t>
  </si>
  <si>
    <t>I641</t>
  </si>
  <si>
    <t>I642</t>
  </si>
  <si>
    <t>I643</t>
  </si>
  <si>
    <t>I644</t>
  </si>
  <si>
    <t>I645</t>
  </si>
  <si>
    <t>I651</t>
  </si>
  <si>
    <t>I652</t>
  </si>
  <si>
    <t>I653</t>
  </si>
  <si>
    <r>
      <rPr>
        <sz val="11"/>
        <color theme="1"/>
        <rFont val="Symbol"/>
        <family val="1"/>
        <charset val="2"/>
      </rPr>
      <t>Dq</t>
    </r>
    <r>
      <rPr>
        <sz val="11"/>
        <color theme="1"/>
        <rFont val="Calibri"/>
        <family val="2"/>
        <scheme val="minor"/>
      </rPr>
      <t>621</t>
    </r>
  </si>
  <si>
    <r>
      <rPr>
        <sz val="11"/>
        <color theme="1"/>
        <rFont val="Symbol"/>
        <family val="1"/>
        <charset val="2"/>
      </rPr>
      <t>Dq</t>
    </r>
    <r>
      <rPr>
        <sz val="11"/>
        <color theme="1"/>
        <rFont val="Calibri"/>
        <family val="2"/>
        <scheme val="minor"/>
      </rPr>
      <t>622</t>
    </r>
    <r>
      <rPr>
        <sz val="11"/>
        <color theme="1"/>
        <rFont val="Calibri"/>
        <family val="2"/>
        <scheme val="minor"/>
      </rPr>
      <t/>
    </r>
  </si>
  <si>
    <r>
      <rPr>
        <sz val="11"/>
        <color theme="1"/>
        <rFont val="Symbol"/>
        <family val="1"/>
        <charset val="2"/>
      </rPr>
      <t>Dq</t>
    </r>
    <r>
      <rPr>
        <sz val="11"/>
        <color theme="1"/>
        <rFont val="Calibri"/>
        <family val="2"/>
        <scheme val="minor"/>
      </rPr>
      <t>623</t>
    </r>
    <r>
      <rPr>
        <sz val="11"/>
        <color theme="1"/>
        <rFont val="Calibri"/>
        <family val="2"/>
        <scheme val="minor"/>
      </rPr>
      <t/>
    </r>
  </si>
  <si>
    <r>
      <rPr>
        <sz val="11"/>
        <color theme="1"/>
        <rFont val="Symbol"/>
        <family val="1"/>
        <charset val="2"/>
      </rPr>
      <t>Dq</t>
    </r>
    <r>
      <rPr>
        <sz val="11"/>
        <color theme="1"/>
        <rFont val="Calibri"/>
        <family val="2"/>
        <scheme val="minor"/>
      </rPr>
      <t>624</t>
    </r>
    <r>
      <rPr>
        <sz val="11"/>
        <color theme="1"/>
        <rFont val="Calibri"/>
        <family val="2"/>
        <scheme val="minor"/>
      </rPr>
      <t/>
    </r>
  </si>
  <si>
    <r>
      <rPr>
        <sz val="11"/>
        <color theme="1"/>
        <rFont val="Symbol"/>
        <family val="1"/>
        <charset val="2"/>
      </rPr>
      <t>Dq</t>
    </r>
    <r>
      <rPr>
        <sz val="11"/>
        <color theme="1"/>
        <rFont val="Calibri"/>
        <family val="2"/>
        <scheme val="minor"/>
      </rPr>
      <t>625</t>
    </r>
    <r>
      <rPr>
        <sz val="11"/>
        <color theme="1"/>
        <rFont val="Calibri"/>
        <family val="2"/>
        <scheme val="minor"/>
      </rPr>
      <t/>
    </r>
  </si>
  <si>
    <r>
      <rPr>
        <sz val="11"/>
        <color theme="1"/>
        <rFont val="Symbol"/>
        <family val="1"/>
        <charset val="2"/>
      </rPr>
      <t>Dq</t>
    </r>
    <r>
      <rPr>
        <sz val="11"/>
        <color theme="1"/>
        <rFont val="Calibri"/>
        <family val="2"/>
        <scheme val="minor"/>
      </rPr>
      <t>641</t>
    </r>
  </si>
  <si>
    <r>
      <rPr>
        <sz val="11"/>
        <color theme="1"/>
        <rFont val="Symbol"/>
        <family val="1"/>
        <charset val="2"/>
      </rPr>
      <t>Dq</t>
    </r>
    <r>
      <rPr>
        <sz val="11"/>
        <color theme="1"/>
        <rFont val="Calibri"/>
        <family val="2"/>
        <scheme val="minor"/>
      </rPr>
      <t>642</t>
    </r>
    <r>
      <rPr>
        <sz val="11"/>
        <color theme="1"/>
        <rFont val="Calibri"/>
        <family val="2"/>
        <scheme val="minor"/>
      </rPr>
      <t/>
    </r>
  </si>
  <si>
    <r>
      <rPr>
        <sz val="11"/>
        <color theme="1"/>
        <rFont val="Symbol"/>
        <family val="1"/>
        <charset val="2"/>
      </rPr>
      <t>Dq</t>
    </r>
    <r>
      <rPr>
        <sz val="11"/>
        <color theme="1"/>
        <rFont val="Calibri"/>
        <family val="2"/>
        <scheme val="minor"/>
      </rPr>
      <t>643</t>
    </r>
    <r>
      <rPr>
        <sz val="11"/>
        <color theme="1"/>
        <rFont val="Calibri"/>
        <family val="2"/>
        <scheme val="minor"/>
      </rPr>
      <t/>
    </r>
  </si>
  <si>
    <r>
      <rPr>
        <sz val="11"/>
        <color theme="1"/>
        <rFont val="Symbol"/>
        <family val="1"/>
        <charset val="2"/>
      </rPr>
      <t>Dq</t>
    </r>
    <r>
      <rPr>
        <sz val="11"/>
        <color theme="1"/>
        <rFont val="Calibri"/>
        <family val="2"/>
        <scheme val="minor"/>
      </rPr>
      <t>644</t>
    </r>
    <r>
      <rPr>
        <sz val="11"/>
        <color theme="1"/>
        <rFont val="Calibri"/>
        <family val="2"/>
        <scheme val="minor"/>
      </rPr>
      <t/>
    </r>
  </si>
  <si>
    <r>
      <rPr>
        <sz val="11"/>
        <color theme="1"/>
        <rFont val="Symbol"/>
        <family val="1"/>
        <charset val="2"/>
      </rPr>
      <t>Dq</t>
    </r>
    <r>
      <rPr>
        <sz val="11"/>
        <color theme="1"/>
        <rFont val="Calibri"/>
        <family val="2"/>
        <scheme val="minor"/>
      </rPr>
      <t>645</t>
    </r>
    <r>
      <rPr>
        <sz val="11"/>
        <color theme="1"/>
        <rFont val="Calibri"/>
        <family val="2"/>
        <scheme val="minor"/>
      </rPr>
      <t/>
    </r>
  </si>
  <si>
    <r>
      <rPr>
        <sz val="11"/>
        <color theme="1"/>
        <rFont val="Symbol"/>
        <family val="1"/>
        <charset val="2"/>
      </rPr>
      <t>Dq</t>
    </r>
    <r>
      <rPr>
        <sz val="11"/>
        <color theme="1"/>
        <rFont val="Calibri"/>
        <family val="2"/>
        <scheme val="minor"/>
      </rPr>
      <t>651</t>
    </r>
  </si>
  <si>
    <r>
      <rPr>
        <sz val="11"/>
        <color theme="1"/>
        <rFont val="Symbol"/>
        <family val="1"/>
        <charset val="2"/>
      </rPr>
      <t>Dq</t>
    </r>
    <r>
      <rPr>
        <sz val="11"/>
        <color theme="1"/>
        <rFont val="Calibri"/>
        <family val="2"/>
        <scheme val="minor"/>
      </rPr>
      <t>652</t>
    </r>
    <r>
      <rPr>
        <sz val="11"/>
        <color theme="1"/>
        <rFont val="Calibri"/>
        <family val="2"/>
        <scheme val="minor"/>
      </rPr>
      <t/>
    </r>
  </si>
  <si>
    <r>
      <rPr>
        <sz val="11"/>
        <color theme="1"/>
        <rFont val="Symbol"/>
        <family val="1"/>
        <charset val="2"/>
      </rPr>
      <t>Dq</t>
    </r>
    <r>
      <rPr>
        <sz val="11"/>
        <color theme="1"/>
        <rFont val="Calibri"/>
        <family val="2"/>
        <scheme val="minor"/>
      </rPr>
      <t>653</t>
    </r>
    <r>
      <rPr>
        <sz val="11"/>
        <color theme="1"/>
        <rFont val="Calibri"/>
        <family val="2"/>
        <scheme val="minor"/>
      </rPr>
      <t/>
    </r>
  </si>
  <si>
    <t>Pinj</t>
  </si>
  <si>
    <t>INTEGRALITY</t>
  </si>
  <si>
    <t>&lt;=</t>
  </si>
  <si>
    <t>Unknown variables</t>
  </si>
  <si>
    <t>B' matrix 5x5</t>
  </si>
  <si>
    <t>F351</t>
  </si>
  <si>
    <t>F352</t>
  </si>
  <si>
    <t>F621</t>
  </si>
  <si>
    <t>F622</t>
  </si>
  <si>
    <t>F623</t>
  </si>
  <si>
    <t>F624</t>
  </si>
  <si>
    <t>F625</t>
  </si>
  <si>
    <t>F641</t>
  </si>
  <si>
    <t>F642</t>
  </si>
  <si>
    <t>F643</t>
  </si>
  <si>
    <t>F644</t>
  </si>
  <si>
    <t>F645</t>
  </si>
  <si>
    <t>F651</t>
  </si>
  <si>
    <t>F652</t>
  </si>
  <si>
    <t>F653</t>
  </si>
  <si>
    <t>F12</t>
  </si>
  <si>
    <t>F14</t>
  </si>
  <si>
    <t>F15</t>
  </si>
  <si>
    <t>F23</t>
  </si>
  <si>
    <t>F24</t>
  </si>
  <si>
    <t>Pinj base</t>
  </si>
  <si>
    <t>Calculated flows</t>
  </si>
  <si>
    <t>Calculated angles</t>
  </si>
  <si>
    <t>&lt;---- Losses</t>
  </si>
  <si>
    <t xml:space="preserve"> </t>
  </si>
  <si>
    <t>I353</t>
  </si>
  <si>
    <r>
      <rPr>
        <sz val="11"/>
        <color theme="1"/>
        <rFont val="Symbol"/>
        <family val="1"/>
        <charset val="2"/>
      </rPr>
      <t>Dq</t>
    </r>
    <r>
      <rPr>
        <sz val="11"/>
        <color theme="1"/>
        <rFont val="Calibri"/>
        <family val="2"/>
        <scheme val="minor"/>
      </rPr>
      <t>351</t>
    </r>
  </si>
  <si>
    <r>
      <rPr>
        <sz val="11"/>
        <color theme="1"/>
        <rFont val="Symbol"/>
        <family val="1"/>
        <charset val="2"/>
      </rPr>
      <t>Dq</t>
    </r>
    <r>
      <rPr>
        <sz val="11"/>
        <color theme="1"/>
        <rFont val="Calibri"/>
        <family val="2"/>
        <scheme val="minor"/>
      </rPr>
      <t>352</t>
    </r>
  </si>
  <si>
    <r>
      <rPr>
        <sz val="11"/>
        <color theme="1"/>
        <rFont val="Symbol"/>
        <family val="1"/>
        <charset val="2"/>
      </rPr>
      <t>Dq</t>
    </r>
    <r>
      <rPr>
        <sz val="11"/>
        <color theme="1"/>
        <rFont val="Calibri"/>
        <family val="2"/>
        <scheme val="minor"/>
      </rPr>
      <t>353</t>
    </r>
  </si>
  <si>
    <t>PL</t>
  </si>
  <si>
    <t>PG</t>
  </si>
  <si>
    <t>F353</t>
  </si>
  <si>
    <t>F35</t>
  </si>
  <si>
    <t>k</t>
  </si>
  <si>
    <t>Bij</t>
  </si>
  <si>
    <r>
      <rPr>
        <sz val="11"/>
        <color theme="1"/>
        <rFont val="Symbol"/>
        <family val="1"/>
        <charset val="2"/>
      </rPr>
      <t>Dq</t>
    </r>
    <r>
      <rPr>
        <sz val="11"/>
        <color theme="1"/>
        <rFont val="Calibri"/>
        <family val="2"/>
        <scheme val="minor"/>
      </rPr>
      <t>ijk</t>
    </r>
  </si>
  <si>
    <t>Fijk=</t>
  </si>
  <si>
    <t>Flows</t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</si>
  <si>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 xml:space="preserve"> 62</t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</si>
  <si>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 xml:space="preserve"> 64</t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</si>
  <si>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 xml:space="preserve"> 65</t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</si>
  <si>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 xml:space="preserve"> 35</t>
    </r>
  </si>
  <si>
    <r>
      <t>Augmented susceptance B</t>
    </r>
    <r>
      <rPr>
        <vertAlign val="superscript"/>
        <sz val="11"/>
        <color theme="1"/>
        <rFont val="Calibri (Body)"/>
      </rPr>
      <t>a</t>
    </r>
    <r>
      <rPr>
        <sz val="11"/>
        <color theme="1"/>
        <rFont val="Calibri"/>
        <family val="2"/>
        <scheme val="minor"/>
      </rPr>
      <t>Matrix</t>
    </r>
  </si>
  <si>
    <r>
      <rPr>
        <sz val="11"/>
        <color theme="1"/>
        <rFont val="Symbol"/>
        <family val="1"/>
        <charset val="2"/>
      </rPr>
      <t>q</t>
    </r>
    <r>
      <rPr>
        <vertAlign val="superscript"/>
        <sz val="11"/>
        <color theme="1"/>
        <rFont val="Calibri (Body)"/>
      </rPr>
      <t>a</t>
    </r>
  </si>
  <si>
    <t>,</t>
  </si>
  <si>
    <t>Programado por Paulo M. De Oliveira pm.deoliveiradejes@uniandes.edu.co</t>
  </si>
  <si>
    <t>Octubre de 2024</t>
  </si>
  <si>
    <t xml:space="preserve">Villasana, R. PhD Dissertation (1984). Transmission network planning using linear and mixed integer programming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</si>
</sst>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00"/>
    <numFmt numFmtId="166" formatCode="_(* #,##0.000_);_(* \(#,##0.000\);_(* &quot;-&quot;??_);_(@_)"/>
    <numFmt numFmtId="167" formatCode="0.0000"/>
    <numFmt numFmtId="168" formatCode="0.0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1"/>
      <charset val="2"/>
      <scheme val="minor"/>
    </font>
    <font>
      <sz val="11"/>
      <color theme="2"/>
      <name val="Calibri"/>
      <family val="2"/>
      <scheme val="minor"/>
    </font>
    <font>
      <sz val="11"/>
      <color theme="1"/>
      <name val="Calibri"/>
      <family val="2"/>
      <charset val="2"/>
      <scheme val="minor"/>
    </font>
    <font>
      <sz val="8"/>
      <name val="Calibri"/>
      <family val="2"/>
      <scheme val="minor"/>
    </font>
    <font>
      <vertAlign val="superscript"/>
      <sz val="11"/>
      <color theme="1"/>
      <name val="Calibri (Body)"/>
    </font>
    <font>
      <sz val="11"/>
      <color theme="1"/>
      <name val="Calibri"/>
      <family val="2"/>
      <charset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quotePrefix="1" applyAlignment="1">
      <alignment horizontal="center"/>
    </xf>
    <xf numFmtId="2" fontId="0" fillId="0" borderId="0" xfId="0" applyNumberFormat="1"/>
    <xf numFmtId="0" fontId="1" fillId="0" borderId="0" xfId="0" applyFont="1" applyAlignment="1">
      <alignment horizontal="left"/>
    </xf>
    <xf numFmtId="16" fontId="1" fillId="0" borderId="0" xfId="0" quotePrefix="1" applyNumberFormat="1" applyFont="1"/>
    <xf numFmtId="0" fontId="1" fillId="0" borderId="0" xfId="0" quotePrefix="1" applyFont="1"/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/>
    <xf numFmtId="166" fontId="0" fillId="0" borderId="0" xfId="1" applyNumberFormat="1" applyFont="1"/>
    <xf numFmtId="164" fontId="0" fillId="0" borderId="0" xfId="0" applyNumberFormat="1"/>
    <xf numFmtId="0" fontId="0" fillId="2" borderId="0" xfId="0" applyFill="1"/>
    <xf numFmtId="165" fontId="0" fillId="2" borderId="0" xfId="0" applyNumberFormat="1" applyFill="1" applyAlignment="1">
      <alignment horizontal="center"/>
    </xf>
    <xf numFmtId="0" fontId="0" fillId="4" borderId="0" xfId="0" applyFill="1"/>
    <xf numFmtId="0" fontId="0" fillId="0" borderId="1" xfId="0" applyBorder="1"/>
    <xf numFmtId="1" fontId="0" fillId="0" borderId="2" xfId="0" applyNumberFormat="1" applyBorder="1"/>
    <xf numFmtId="1" fontId="0" fillId="0" borderId="3" xfId="0" applyNumberFormat="1" applyBorder="1"/>
    <xf numFmtId="2" fontId="0" fillId="0" borderId="0" xfId="0" applyNumberFormat="1" applyAlignment="1">
      <alignment horizontal="right"/>
    </xf>
    <xf numFmtId="2" fontId="0" fillId="4" borderId="4" xfId="0" applyNumberFormat="1" applyFill="1" applyBorder="1"/>
    <xf numFmtId="0" fontId="0" fillId="0" borderId="4" xfId="0" applyBorder="1"/>
    <xf numFmtId="2" fontId="0" fillId="4" borderId="0" xfId="0" applyNumberFormat="1" applyFill="1"/>
    <xf numFmtId="0" fontId="0" fillId="5" borderId="4" xfId="0" applyFill="1" applyBorder="1"/>
    <xf numFmtId="0" fontId="0" fillId="5" borderId="0" xfId="0" applyFill="1"/>
    <xf numFmtId="0" fontId="0" fillId="5" borderId="1" xfId="0" applyFill="1" applyBorder="1"/>
    <xf numFmtId="0" fontId="0" fillId="6" borderId="0" xfId="0" applyFill="1"/>
    <xf numFmtId="0" fontId="0" fillId="6" borderId="2" xfId="0" applyFill="1" applyBorder="1" applyAlignment="1">
      <alignment horizontal="center"/>
    </xf>
    <xf numFmtId="165" fontId="0" fillId="7" borderId="0" xfId="0" applyNumberFormat="1" applyFill="1"/>
    <xf numFmtId="165" fontId="0" fillId="2" borderId="4" xfId="0" applyNumberFormat="1" applyFill="1" applyBorder="1" applyAlignment="1">
      <alignment horizontal="center"/>
    </xf>
    <xf numFmtId="0" fontId="0" fillId="8" borderId="0" xfId="0" applyFill="1"/>
    <xf numFmtId="2" fontId="0" fillId="8" borderId="0" xfId="0" applyNumberFormat="1" applyFill="1" applyAlignment="1">
      <alignment horizontal="center"/>
    </xf>
    <xf numFmtId="167" fontId="0" fillId="0" borderId="0" xfId="0" applyNumberFormat="1"/>
    <xf numFmtId="167" fontId="0" fillId="0" borderId="1" xfId="0" applyNumberFormat="1" applyBorder="1"/>
    <xf numFmtId="0" fontId="4" fillId="6" borderId="2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5" fillId="0" borderId="0" xfId="0" applyFont="1"/>
    <xf numFmtId="2" fontId="6" fillId="3" borderId="1" xfId="0" applyNumberFormat="1" applyFont="1" applyFill="1" applyBorder="1" applyAlignment="1">
      <alignment horizontal="center"/>
    </xf>
    <xf numFmtId="2" fontId="6" fillId="3" borderId="4" xfId="0" applyNumberFormat="1" applyFont="1" applyFill="1" applyBorder="1" applyAlignment="1">
      <alignment horizontal="center"/>
    </xf>
    <xf numFmtId="2" fontId="6" fillId="3" borderId="0" xfId="0" applyNumberFormat="1" applyFont="1" applyFill="1" applyAlignment="1">
      <alignment horizontal="center"/>
    </xf>
    <xf numFmtId="167" fontId="0" fillId="9" borderId="0" xfId="0" applyNumberFormat="1" applyFill="1"/>
    <xf numFmtId="0" fontId="0" fillId="9" borderId="1" xfId="0" applyFill="1" applyBorder="1"/>
    <xf numFmtId="165" fontId="0" fillId="8" borderId="0" xfId="0" applyNumberFormat="1" applyFill="1" applyAlignment="1">
      <alignment horizontal="center"/>
    </xf>
    <xf numFmtId="168" fontId="0" fillId="0" borderId="2" xfId="0" applyNumberFormat="1" applyBorder="1"/>
    <xf numFmtId="0" fontId="0" fillId="0" borderId="0" xfId="0" applyAlignment="1">
      <alignment horizontal="right"/>
    </xf>
    <xf numFmtId="2" fontId="7" fillId="0" borderId="0" xfId="0" applyNumberFormat="1" applyFont="1" applyAlignment="1">
      <alignment horizontal="right"/>
    </xf>
    <xf numFmtId="0" fontId="10" fillId="0" borderId="0" xfId="0" applyFont="1"/>
    <xf numFmtId="0" fontId="0" fillId="10" borderId="0" xfId="0" applyFill="1"/>
    <xf numFmtId="2" fontId="0" fillId="10" borderId="0" xfId="0" applyNumberFormat="1" applyFill="1" applyAlignment="1">
      <alignment horizontal="left"/>
    </xf>
    <xf numFmtId="2" fontId="0" fillId="10" borderId="0" xfId="0" applyNumberFormat="1" applyFill="1"/>
    <xf numFmtId="2" fontId="0" fillId="10" borderId="0" xfId="0" applyNumberFormat="1" applyFill="1" applyAlignment="1">
      <alignment horizontal="center"/>
    </xf>
    <xf numFmtId="168" fontId="0" fillId="10" borderId="0" xfId="0" applyNumberFormat="1" applyFill="1" applyAlignment="1">
      <alignment horizontal="right"/>
    </xf>
    <xf numFmtId="0" fontId="1" fillId="10" borderId="0" xfId="0" applyFont="1" applyFill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162622</xdr:colOff>
      <xdr:row>13</xdr:row>
      <xdr:rowOff>162622</xdr:rowOff>
    </xdr:from>
    <xdr:ext cx="9541843" cy="655885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62622" y="2578720"/>
          <a:ext cx="9541843" cy="65588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none" rtlCol="0" anchor="t">
          <a:spAutoFit/>
        </a:bodyPr>
        <a:lstStyle/>
        <a:p>
          <a:r>
            <a:rPr lang="pt-PT" sz="3600" b="1"/>
            <a:t>Garver 6node system - Mixed-Binary</a:t>
          </a:r>
          <a:r>
            <a:rPr lang="pt-PT" sz="3600" b="1" baseline="0"/>
            <a:t>  LP Solution</a:t>
          </a:r>
          <a:endParaRPr lang="pt-PT" sz="3600" b="1"/>
        </a:p>
      </xdr:txBody>
    </xdr:sp>
    <xdr:clientData/>
  </xdr:oneCellAnchor>
  <xdr:twoCellAnchor>
    <xdr:from>
      <xdr:col>31</xdr:col>
      <xdr:colOff>20336</xdr:colOff>
      <xdr:row>9</xdr:row>
      <xdr:rowOff>44972</xdr:rowOff>
    </xdr:from>
    <xdr:to>
      <xdr:col>31</xdr:col>
      <xdr:colOff>388636</xdr:colOff>
      <xdr:row>11</xdr:row>
      <xdr:rowOff>81721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A47BC13-1B45-6345-AB26-7E05EDBAD785}"/>
            </a:ext>
          </a:extLst>
        </xdr:cNvPr>
        <xdr:cNvCxnSpPr/>
      </xdr:nvCxnSpPr>
      <xdr:spPr>
        <a:xfrm flipV="1">
          <a:off x="19313527" y="1747312"/>
          <a:ext cx="368300" cy="415047"/>
        </a:xfrm>
        <a:prstGeom prst="straightConnector1">
          <a:avLst/>
        </a:prstGeom>
        <a:ln>
          <a:tailEnd type="triangle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757204</xdr:colOff>
      <xdr:row>15</xdr:row>
      <xdr:rowOff>26868</xdr:rowOff>
    </xdr:from>
    <xdr:to>
      <xdr:col>32</xdr:col>
      <xdr:colOff>769904</xdr:colOff>
      <xdr:row>20</xdr:row>
      <xdr:rowOff>26868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ED5E1D7C-A4A5-3D44-BAF2-A58BC618FC72}"/>
            </a:ext>
          </a:extLst>
        </xdr:cNvPr>
        <xdr:cNvCxnSpPr/>
      </xdr:nvCxnSpPr>
      <xdr:spPr>
        <a:xfrm flipV="1">
          <a:off x="20874544" y="2864102"/>
          <a:ext cx="12700" cy="945745"/>
        </a:xfrm>
        <a:prstGeom prst="straightConnector1">
          <a:avLst/>
        </a:prstGeom>
        <a:ln>
          <a:tailEnd type="triangle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38100</xdr:colOff>
      <xdr:row>1</xdr:row>
      <xdr:rowOff>1595</xdr:rowOff>
    </xdr:from>
    <xdr:to>
      <xdr:col>33</xdr:col>
      <xdr:colOff>661755</xdr:colOff>
      <xdr:row>28</xdr:row>
      <xdr:rowOff>125637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F206703F-9582-494F-B565-03B0F6E80451}"/>
            </a:ext>
          </a:extLst>
        </xdr:cNvPr>
        <xdr:cNvGrpSpPr/>
      </xdr:nvGrpSpPr>
      <xdr:grpSpPr>
        <a:xfrm>
          <a:off x="15632754" y="194122"/>
          <a:ext cx="3663549" cy="5383058"/>
          <a:chOff x="5846637" y="501144"/>
          <a:chExt cx="3925368" cy="5267669"/>
        </a:xfrm>
      </xdr:grpSpPr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4439AAE7-7AEF-BB79-3C7F-919C52E56103}"/>
              </a:ext>
            </a:extLst>
          </xdr:cNvPr>
          <xdr:cNvGrpSpPr/>
        </xdr:nvGrpSpPr>
        <xdr:grpSpPr>
          <a:xfrm>
            <a:off x="5846637" y="501144"/>
            <a:ext cx="3925368" cy="5267669"/>
            <a:chOff x="5055404" y="617848"/>
            <a:chExt cx="3925368" cy="5267669"/>
          </a:xfrm>
        </xdr:grpSpPr>
        <xdr:sp macro="" textlink="">
          <xdr:nvSpPr>
            <xdr:cNvPr id="17" name="Rectángulo 188">
              <a:extLst>
                <a:ext uri="{FF2B5EF4-FFF2-40B4-BE49-F238E27FC236}">
                  <a16:creationId xmlns:a16="http://schemas.microsoft.com/office/drawing/2014/main" id="{4855DB05-3606-258D-E2C0-C69C55044C5D}"/>
                </a:ext>
              </a:extLst>
            </xdr:cNvPr>
            <xdr:cNvSpPr/>
          </xdr:nvSpPr>
          <xdr:spPr>
            <a:xfrm rot="16200000">
              <a:off x="5957054" y="5180375"/>
              <a:ext cx="53826" cy="407317"/>
            </a:xfrm>
            <a:prstGeom prst="rect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  <a:effectLst/>
          </xdr:spPr>
          <xdr:style>
            <a:lnRef idx="1">
              <a:schemeClr val="accent1"/>
            </a:lnRef>
            <a:fillRef idx="3">
              <a:schemeClr val="accent1"/>
            </a:fillRef>
            <a:effectRef idx="2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6000"/>
            </a:p>
          </xdr:txBody>
        </xdr:sp>
        <xdr:pic>
          <xdr:nvPicPr>
            <xdr:cNvPr id="18" name="Picture 17">
              <a:extLst>
                <a:ext uri="{FF2B5EF4-FFF2-40B4-BE49-F238E27FC236}">
                  <a16:creationId xmlns:a16="http://schemas.microsoft.com/office/drawing/2014/main" id="{F271EBD6-D35C-8DBD-FB0B-D252E8B10DC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5853162" y="5573572"/>
              <a:ext cx="261611" cy="261611"/>
            </a:xfrm>
            <a:prstGeom prst="rect">
              <a:avLst/>
            </a:prstGeom>
          </xdr:spPr>
        </xdr:pic>
        <xdr:sp macro="" textlink="">
          <xdr:nvSpPr>
            <xdr:cNvPr id="19" name="Rectángulo 188">
              <a:extLst>
                <a:ext uri="{FF2B5EF4-FFF2-40B4-BE49-F238E27FC236}">
                  <a16:creationId xmlns:a16="http://schemas.microsoft.com/office/drawing/2014/main" id="{857BD1F9-21A2-4D3F-2924-B0D2D982C9B1}"/>
                </a:ext>
              </a:extLst>
            </xdr:cNvPr>
            <xdr:cNvSpPr/>
          </xdr:nvSpPr>
          <xdr:spPr>
            <a:xfrm rot="16200000">
              <a:off x="8007280" y="5191814"/>
              <a:ext cx="69267" cy="507535"/>
            </a:xfrm>
            <a:prstGeom prst="rect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  <a:effectLst/>
          </xdr:spPr>
          <xdr:style>
            <a:lnRef idx="1">
              <a:schemeClr val="accent1"/>
            </a:lnRef>
            <a:fillRef idx="3">
              <a:schemeClr val="accent1"/>
            </a:fillRef>
            <a:effectRef idx="2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6000"/>
            </a:p>
          </xdr:txBody>
        </xdr:sp>
        <xdr:sp macro="" textlink="">
          <xdr:nvSpPr>
            <xdr:cNvPr id="20" name="Rectángulo 188">
              <a:extLst>
                <a:ext uri="{FF2B5EF4-FFF2-40B4-BE49-F238E27FC236}">
                  <a16:creationId xmlns:a16="http://schemas.microsoft.com/office/drawing/2014/main" id="{59E4EF2D-FCE6-F42D-7A37-F2D09C8220EA}"/>
                </a:ext>
              </a:extLst>
            </xdr:cNvPr>
            <xdr:cNvSpPr/>
          </xdr:nvSpPr>
          <xdr:spPr>
            <a:xfrm rot="16200000">
              <a:off x="6640501" y="857141"/>
              <a:ext cx="53826" cy="407317"/>
            </a:xfrm>
            <a:prstGeom prst="rect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  <a:effectLst/>
          </xdr:spPr>
          <xdr:style>
            <a:lnRef idx="1">
              <a:schemeClr val="accent1"/>
            </a:lnRef>
            <a:fillRef idx="3">
              <a:schemeClr val="accent1"/>
            </a:fillRef>
            <a:effectRef idx="2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6000"/>
            </a:p>
          </xdr:txBody>
        </xdr:sp>
        <xdr:sp macro="" textlink="">
          <xdr:nvSpPr>
            <xdr:cNvPr id="21" name="Rectángulo 188">
              <a:extLst>
                <a:ext uri="{FF2B5EF4-FFF2-40B4-BE49-F238E27FC236}">
                  <a16:creationId xmlns:a16="http://schemas.microsoft.com/office/drawing/2014/main" id="{B4506B50-513B-484F-7635-EEB9110859F9}"/>
                </a:ext>
              </a:extLst>
            </xdr:cNvPr>
            <xdr:cNvSpPr/>
          </xdr:nvSpPr>
          <xdr:spPr>
            <a:xfrm rot="16200000">
              <a:off x="8065109" y="858418"/>
              <a:ext cx="53826" cy="407317"/>
            </a:xfrm>
            <a:prstGeom prst="rect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  <a:effectLst/>
          </xdr:spPr>
          <xdr:style>
            <a:lnRef idx="1">
              <a:schemeClr val="accent1"/>
            </a:lnRef>
            <a:fillRef idx="3">
              <a:schemeClr val="accent1"/>
            </a:fillRef>
            <a:effectRef idx="2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6000"/>
            </a:p>
          </xdr:txBody>
        </xdr:sp>
        <xdr:sp macro="" textlink="">
          <xdr:nvSpPr>
            <xdr:cNvPr id="22" name="Rectángulo 188">
              <a:extLst>
                <a:ext uri="{FF2B5EF4-FFF2-40B4-BE49-F238E27FC236}">
                  <a16:creationId xmlns:a16="http://schemas.microsoft.com/office/drawing/2014/main" id="{2509A792-171F-5016-16E1-784D8973405A}"/>
                </a:ext>
              </a:extLst>
            </xdr:cNvPr>
            <xdr:cNvSpPr/>
          </xdr:nvSpPr>
          <xdr:spPr>
            <a:xfrm rot="16200000">
              <a:off x="5470647" y="1807637"/>
              <a:ext cx="53826" cy="407317"/>
            </a:xfrm>
            <a:prstGeom prst="rect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  <a:effectLst/>
          </xdr:spPr>
          <xdr:style>
            <a:lnRef idx="1">
              <a:schemeClr val="accent1"/>
            </a:lnRef>
            <a:fillRef idx="3">
              <a:schemeClr val="accent1"/>
            </a:fillRef>
            <a:effectRef idx="2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6000"/>
            </a:p>
          </xdr:txBody>
        </xdr:sp>
        <xdr:cxnSp macro="">
          <xdr:nvCxnSpPr>
            <xdr:cNvPr id="23" name="Conector recto 337">
              <a:extLst>
                <a:ext uri="{FF2B5EF4-FFF2-40B4-BE49-F238E27FC236}">
                  <a16:creationId xmlns:a16="http://schemas.microsoft.com/office/drawing/2014/main" id="{B263A2A2-6674-B4AC-4CE9-038A18FE9FF1}"/>
                </a:ext>
              </a:extLst>
            </xdr:cNvPr>
            <xdr:cNvCxnSpPr>
              <a:cxnSpLocks/>
            </xdr:cNvCxnSpPr>
          </xdr:nvCxnSpPr>
          <xdr:spPr>
            <a:xfrm>
              <a:off x="5598899" y="1984185"/>
              <a:ext cx="0" cy="146009"/>
            </a:xfrm>
            <a:prstGeom prst="line">
              <a:avLst/>
            </a:prstGeom>
            <a:ln w="19050" cmpd="sng">
              <a:solidFill>
                <a:schemeClr val="tx1"/>
              </a:solidFill>
              <a:headEnd type="none"/>
              <a:tailEnd type="none"/>
            </a:ln>
            <a:effectLst/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" name="Conector recto 337">
              <a:extLst>
                <a:ext uri="{FF2B5EF4-FFF2-40B4-BE49-F238E27FC236}">
                  <a16:creationId xmlns:a16="http://schemas.microsoft.com/office/drawing/2014/main" id="{73257FA5-C2B0-A624-1850-76FEBB4539A3}"/>
                </a:ext>
              </a:extLst>
            </xdr:cNvPr>
            <xdr:cNvCxnSpPr>
              <a:cxnSpLocks/>
            </xdr:cNvCxnSpPr>
          </xdr:nvCxnSpPr>
          <xdr:spPr>
            <a:xfrm flipV="1">
              <a:off x="5600971" y="1182966"/>
              <a:ext cx="1006380" cy="724972"/>
            </a:xfrm>
            <a:prstGeom prst="line">
              <a:avLst/>
            </a:prstGeom>
            <a:ln w="19050" cmpd="sng">
              <a:solidFill>
                <a:srgbClr val="00B050"/>
              </a:solidFill>
              <a:headEnd type="none"/>
              <a:tailEnd type="none"/>
            </a:ln>
            <a:effectLst/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" name="Conector recto 337">
              <a:extLst>
                <a:ext uri="{FF2B5EF4-FFF2-40B4-BE49-F238E27FC236}">
                  <a16:creationId xmlns:a16="http://schemas.microsoft.com/office/drawing/2014/main" id="{AD0A443C-BD99-025E-0792-942E57747E3A}"/>
                </a:ext>
              </a:extLst>
            </xdr:cNvPr>
            <xdr:cNvCxnSpPr>
              <a:cxnSpLocks/>
            </xdr:cNvCxnSpPr>
          </xdr:nvCxnSpPr>
          <xdr:spPr>
            <a:xfrm>
              <a:off x="6607351" y="1060799"/>
              <a:ext cx="0" cy="122167"/>
            </a:xfrm>
            <a:prstGeom prst="line">
              <a:avLst/>
            </a:prstGeom>
            <a:ln w="19050" cmpd="sng">
              <a:solidFill>
                <a:srgbClr val="00B050"/>
              </a:solidFill>
              <a:headEnd type="none"/>
              <a:tailEnd type="none"/>
            </a:ln>
            <a:effectLst/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" name="Conector recto 337">
              <a:extLst>
                <a:ext uri="{FF2B5EF4-FFF2-40B4-BE49-F238E27FC236}">
                  <a16:creationId xmlns:a16="http://schemas.microsoft.com/office/drawing/2014/main" id="{E3CEEC46-2BCF-5E30-8EAC-BCAADF9835E2}"/>
                </a:ext>
              </a:extLst>
            </xdr:cNvPr>
            <xdr:cNvCxnSpPr>
              <a:cxnSpLocks/>
            </xdr:cNvCxnSpPr>
          </xdr:nvCxnSpPr>
          <xdr:spPr>
            <a:xfrm flipV="1">
              <a:off x="6684371" y="826414"/>
              <a:ext cx="0" cy="236858"/>
            </a:xfrm>
            <a:prstGeom prst="line">
              <a:avLst/>
            </a:prstGeom>
            <a:ln w="25400" cmpd="sng">
              <a:solidFill>
                <a:schemeClr val="tx1"/>
              </a:solidFill>
              <a:headEnd type="none" w="med" len="med"/>
              <a:tailEnd type="triangle" w="med" len="lg"/>
            </a:ln>
            <a:effectLst/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pic>
          <xdr:nvPicPr>
            <xdr:cNvPr id="27" name="Picture 26">
              <a:extLst>
                <a:ext uri="{FF2B5EF4-FFF2-40B4-BE49-F238E27FC236}">
                  <a16:creationId xmlns:a16="http://schemas.microsoft.com/office/drawing/2014/main" id="{82881D3D-5AE7-6F1B-11F7-63E754A529B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5291238" y="1610653"/>
              <a:ext cx="261611" cy="261611"/>
            </a:xfrm>
            <a:prstGeom prst="rect">
              <a:avLst/>
            </a:prstGeom>
          </xdr:spPr>
        </xdr:pic>
        <xdr:cxnSp macro="">
          <xdr:nvCxnSpPr>
            <xdr:cNvPr id="28" name="Conector recto 337">
              <a:extLst>
                <a:ext uri="{FF2B5EF4-FFF2-40B4-BE49-F238E27FC236}">
                  <a16:creationId xmlns:a16="http://schemas.microsoft.com/office/drawing/2014/main" id="{55A8C58E-FA3D-8116-969F-4AB911642F4F}"/>
                </a:ext>
              </a:extLst>
            </xdr:cNvPr>
            <xdr:cNvCxnSpPr>
              <a:cxnSpLocks/>
              <a:stCxn id="27" idx="2"/>
            </xdr:cNvCxnSpPr>
          </xdr:nvCxnSpPr>
          <xdr:spPr>
            <a:xfrm flipH="1">
              <a:off x="5422043" y="1872264"/>
              <a:ext cx="1" cy="427687"/>
            </a:xfrm>
            <a:prstGeom prst="line">
              <a:avLst/>
            </a:prstGeom>
            <a:ln w="25400" cmpd="sng">
              <a:solidFill>
                <a:schemeClr val="tx1"/>
              </a:solidFill>
              <a:headEnd type="none" w="med" len="med"/>
              <a:tailEnd type="triangle" w="med" len="lg"/>
            </a:ln>
            <a:effectLst/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9" name="TextBox 36">
              <a:extLst>
                <a:ext uri="{FF2B5EF4-FFF2-40B4-BE49-F238E27FC236}">
                  <a16:creationId xmlns:a16="http://schemas.microsoft.com/office/drawing/2014/main" id="{1D4B4649-B18C-912A-F871-ACCD930762B5}"/>
                </a:ext>
              </a:extLst>
            </xdr:cNvPr>
            <xdr:cNvSpPr txBox="1"/>
          </xdr:nvSpPr>
          <xdr:spPr>
            <a:xfrm>
              <a:off x="5055404" y="1366392"/>
              <a:ext cx="723275" cy="267509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s-E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000">
                  <a:latin typeface="Avenir Book" panose="02000503020000020003" pitchFamily="2" charset="0"/>
                </a:rPr>
                <a:t>165MW</a:t>
              </a:r>
            </a:p>
          </xdr:txBody>
        </xdr:sp>
        <xdr:sp macro="" textlink="">
          <xdr:nvSpPr>
            <xdr:cNvPr id="30" name="TextBox 39">
              <a:extLst>
                <a:ext uri="{FF2B5EF4-FFF2-40B4-BE49-F238E27FC236}">
                  <a16:creationId xmlns:a16="http://schemas.microsoft.com/office/drawing/2014/main" id="{534D695D-0595-D4F7-4333-26B5111FD786}"/>
                </a:ext>
              </a:extLst>
            </xdr:cNvPr>
            <xdr:cNvSpPr txBox="1"/>
          </xdr:nvSpPr>
          <xdr:spPr>
            <a:xfrm>
              <a:off x="6324954" y="617848"/>
              <a:ext cx="667170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s-E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000">
                  <a:latin typeface="Avenir Book" panose="02000503020000020003" pitchFamily="2" charset="0"/>
                </a:rPr>
                <a:t>240 MW</a:t>
              </a:r>
            </a:p>
          </xdr:txBody>
        </xdr:sp>
        <xdr:sp macro="" textlink="">
          <xdr:nvSpPr>
            <xdr:cNvPr id="31" name="TextBox 40">
              <a:extLst>
                <a:ext uri="{FF2B5EF4-FFF2-40B4-BE49-F238E27FC236}">
                  <a16:creationId xmlns:a16="http://schemas.microsoft.com/office/drawing/2014/main" id="{92498C1F-0604-E7D8-9B7D-F2A5FC189BEE}"/>
                </a:ext>
              </a:extLst>
            </xdr:cNvPr>
            <xdr:cNvSpPr txBox="1"/>
          </xdr:nvSpPr>
          <xdr:spPr>
            <a:xfrm>
              <a:off x="5149804" y="2335625"/>
              <a:ext cx="596638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s-E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000">
                  <a:latin typeface="Avenir Book" panose="02000503020000020003" pitchFamily="2" charset="0"/>
                </a:rPr>
                <a:t>40 MW</a:t>
              </a:r>
            </a:p>
          </xdr:txBody>
        </xdr:sp>
        <xdr:cxnSp macro="">
          <xdr:nvCxnSpPr>
            <xdr:cNvPr id="32" name="Conector recto 337">
              <a:extLst>
                <a:ext uri="{FF2B5EF4-FFF2-40B4-BE49-F238E27FC236}">
                  <a16:creationId xmlns:a16="http://schemas.microsoft.com/office/drawing/2014/main" id="{502F6C99-FF4F-0C97-DFBF-1AC196722A05}"/>
                </a:ext>
              </a:extLst>
            </xdr:cNvPr>
            <xdr:cNvCxnSpPr>
              <a:cxnSpLocks/>
            </xdr:cNvCxnSpPr>
          </xdr:nvCxnSpPr>
          <xdr:spPr>
            <a:xfrm flipV="1">
              <a:off x="6731768" y="1165476"/>
              <a:ext cx="1262988" cy="5751"/>
            </a:xfrm>
            <a:prstGeom prst="line">
              <a:avLst/>
            </a:prstGeom>
            <a:ln w="19050" cmpd="sng">
              <a:solidFill>
                <a:schemeClr val="tx1"/>
              </a:solidFill>
              <a:headEnd type="none"/>
              <a:tailEnd type="none"/>
            </a:ln>
            <a:effectLst/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3" name="Conector recto 337">
              <a:extLst>
                <a:ext uri="{FF2B5EF4-FFF2-40B4-BE49-F238E27FC236}">
                  <a16:creationId xmlns:a16="http://schemas.microsoft.com/office/drawing/2014/main" id="{106E1203-D113-D75E-309B-025F8544E38D}"/>
                </a:ext>
              </a:extLst>
            </xdr:cNvPr>
            <xdr:cNvCxnSpPr>
              <a:cxnSpLocks/>
            </xdr:cNvCxnSpPr>
          </xdr:nvCxnSpPr>
          <xdr:spPr>
            <a:xfrm>
              <a:off x="6727732" y="1093927"/>
              <a:ext cx="0" cy="82059"/>
            </a:xfrm>
            <a:prstGeom prst="line">
              <a:avLst/>
            </a:prstGeom>
            <a:ln w="19050" cmpd="sng">
              <a:solidFill>
                <a:schemeClr val="tx1"/>
              </a:solidFill>
              <a:headEnd type="none"/>
              <a:tailEnd type="none"/>
            </a:ln>
            <a:effectLst/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4" name="TextBox 46">
              <a:extLst>
                <a:ext uri="{FF2B5EF4-FFF2-40B4-BE49-F238E27FC236}">
                  <a16:creationId xmlns:a16="http://schemas.microsoft.com/office/drawing/2014/main" id="{013C74CF-5656-49DC-1928-443D7EA43B4A}"/>
                </a:ext>
              </a:extLst>
            </xdr:cNvPr>
            <xdr:cNvSpPr txBox="1"/>
          </xdr:nvSpPr>
          <xdr:spPr>
            <a:xfrm>
              <a:off x="5706600" y="1921046"/>
              <a:ext cx="255198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s-E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000">
                  <a:latin typeface="Avenir Book" panose="02000503020000020003" pitchFamily="2" charset="0"/>
                </a:rPr>
                <a:t>3</a:t>
              </a:r>
            </a:p>
          </xdr:txBody>
        </xdr:sp>
        <xdr:sp macro="" textlink="">
          <xdr:nvSpPr>
            <xdr:cNvPr id="35" name="TextBox 47">
              <a:extLst>
                <a:ext uri="{FF2B5EF4-FFF2-40B4-BE49-F238E27FC236}">
                  <a16:creationId xmlns:a16="http://schemas.microsoft.com/office/drawing/2014/main" id="{C4F70E7B-DA76-29D6-5B3B-C1087CFCF07E}"/>
                </a:ext>
              </a:extLst>
            </xdr:cNvPr>
            <xdr:cNvSpPr txBox="1"/>
          </xdr:nvSpPr>
          <xdr:spPr>
            <a:xfrm>
              <a:off x="6862910" y="938954"/>
              <a:ext cx="255198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s-E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000">
                  <a:latin typeface="Avenir Book" panose="02000503020000020003" pitchFamily="2" charset="0"/>
                </a:rPr>
                <a:t>5</a:t>
              </a:r>
            </a:p>
          </xdr:txBody>
        </xdr:sp>
        <xdr:cxnSp macro="">
          <xdr:nvCxnSpPr>
            <xdr:cNvPr id="36" name="Conector recto 337">
              <a:extLst>
                <a:ext uri="{FF2B5EF4-FFF2-40B4-BE49-F238E27FC236}">
                  <a16:creationId xmlns:a16="http://schemas.microsoft.com/office/drawing/2014/main" id="{803C4C30-0779-435E-F287-483300B769DC}"/>
                </a:ext>
              </a:extLst>
            </xdr:cNvPr>
            <xdr:cNvCxnSpPr>
              <a:cxnSpLocks/>
            </xdr:cNvCxnSpPr>
          </xdr:nvCxnSpPr>
          <xdr:spPr>
            <a:xfrm>
              <a:off x="7997069" y="1090742"/>
              <a:ext cx="0" cy="82059"/>
            </a:xfrm>
            <a:prstGeom prst="line">
              <a:avLst/>
            </a:prstGeom>
            <a:ln w="19050" cmpd="sng">
              <a:solidFill>
                <a:schemeClr val="tx1"/>
              </a:solidFill>
              <a:headEnd type="none"/>
              <a:tailEnd type="none"/>
            </a:ln>
            <a:effectLst/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7" name="Rectángulo 188">
              <a:extLst>
                <a:ext uri="{FF2B5EF4-FFF2-40B4-BE49-F238E27FC236}">
                  <a16:creationId xmlns:a16="http://schemas.microsoft.com/office/drawing/2014/main" id="{5E851EA8-B46C-BDA2-27AD-00F7D81195DA}"/>
                </a:ext>
              </a:extLst>
            </xdr:cNvPr>
            <xdr:cNvSpPr/>
          </xdr:nvSpPr>
          <xdr:spPr>
            <a:xfrm rot="16200000">
              <a:off x="8062506" y="859895"/>
              <a:ext cx="53826" cy="407317"/>
            </a:xfrm>
            <a:prstGeom prst="rect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  <a:effectLst/>
          </xdr:spPr>
          <xdr:style>
            <a:lnRef idx="1">
              <a:schemeClr val="accent1"/>
            </a:lnRef>
            <a:fillRef idx="3">
              <a:schemeClr val="accent1"/>
            </a:fillRef>
            <a:effectRef idx="2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6000"/>
            </a:p>
          </xdr:txBody>
        </xdr:sp>
        <xdr:cxnSp macro="">
          <xdr:nvCxnSpPr>
            <xdr:cNvPr id="38" name="Conector recto 337">
              <a:extLst>
                <a:ext uri="{FF2B5EF4-FFF2-40B4-BE49-F238E27FC236}">
                  <a16:creationId xmlns:a16="http://schemas.microsoft.com/office/drawing/2014/main" id="{832904CE-EFE4-824F-67C8-EC6BCE532BDE}"/>
                </a:ext>
              </a:extLst>
            </xdr:cNvPr>
            <xdr:cNvCxnSpPr>
              <a:cxnSpLocks/>
            </xdr:cNvCxnSpPr>
          </xdr:nvCxnSpPr>
          <xdr:spPr>
            <a:xfrm>
              <a:off x="8097003" y="1090741"/>
              <a:ext cx="0" cy="82059"/>
            </a:xfrm>
            <a:prstGeom prst="line">
              <a:avLst/>
            </a:prstGeom>
            <a:ln w="19050" cmpd="sng">
              <a:solidFill>
                <a:schemeClr val="tx1"/>
              </a:solidFill>
              <a:headEnd type="none"/>
              <a:tailEnd type="none"/>
            </a:ln>
            <a:effectLst/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9" name="Conector recto 337">
              <a:extLst>
                <a:ext uri="{FF2B5EF4-FFF2-40B4-BE49-F238E27FC236}">
                  <a16:creationId xmlns:a16="http://schemas.microsoft.com/office/drawing/2014/main" id="{0823C147-7917-385D-7CE5-D920865B709B}"/>
                </a:ext>
              </a:extLst>
            </xdr:cNvPr>
            <xdr:cNvCxnSpPr>
              <a:cxnSpLocks/>
            </xdr:cNvCxnSpPr>
          </xdr:nvCxnSpPr>
          <xdr:spPr>
            <a:xfrm>
              <a:off x="8185695" y="877813"/>
              <a:ext cx="0" cy="4586961"/>
            </a:xfrm>
            <a:prstGeom prst="line">
              <a:avLst/>
            </a:prstGeom>
            <a:ln w="19050" cmpd="sng">
              <a:solidFill>
                <a:schemeClr val="tx1"/>
              </a:solidFill>
              <a:headEnd type="none"/>
              <a:tailEnd type="none"/>
            </a:ln>
            <a:effectLst/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0" name="Conector recto 337">
              <a:extLst>
                <a:ext uri="{FF2B5EF4-FFF2-40B4-BE49-F238E27FC236}">
                  <a16:creationId xmlns:a16="http://schemas.microsoft.com/office/drawing/2014/main" id="{5725016A-8B0A-11F5-3F7E-8E72E8537981}"/>
                </a:ext>
              </a:extLst>
            </xdr:cNvPr>
            <xdr:cNvCxnSpPr>
              <a:cxnSpLocks/>
            </xdr:cNvCxnSpPr>
          </xdr:nvCxnSpPr>
          <xdr:spPr>
            <a:xfrm>
              <a:off x="8185695" y="879373"/>
              <a:ext cx="121082" cy="0"/>
            </a:xfrm>
            <a:prstGeom prst="line">
              <a:avLst/>
            </a:prstGeom>
            <a:ln w="19050" cmpd="sng">
              <a:solidFill>
                <a:schemeClr val="tx1"/>
              </a:solidFill>
              <a:headEnd type="none"/>
              <a:tailEnd type="none"/>
            </a:ln>
            <a:effectLst/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pic>
          <xdr:nvPicPr>
            <xdr:cNvPr id="41" name="Picture 40">
              <a:extLst>
                <a:ext uri="{FF2B5EF4-FFF2-40B4-BE49-F238E27FC236}">
                  <a16:creationId xmlns:a16="http://schemas.microsoft.com/office/drawing/2014/main" id="{7B0B34CA-C5D5-5B53-7968-496D16266E2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8301951" y="747008"/>
              <a:ext cx="261611" cy="261611"/>
            </a:xfrm>
            <a:prstGeom prst="rect">
              <a:avLst/>
            </a:prstGeom>
          </xdr:spPr>
        </xdr:pic>
        <xdr:sp macro="" textlink="">
          <xdr:nvSpPr>
            <xdr:cNvPr id="42" name="TextBox 58">
              <a:extLst>
                <a:ext uri="{FF2B5EF4-FFF2-40B4-BE49-F238E27FC236}">
                  <a16:creationId xmlns:a16="http://schemas.microsoft.com/office/drawing/2014/main" id="{A5F98C76-AF92-ED52-A0F5-23F34748E835}"/>
                </a:ext>
              </a:extLst>
            </xdr:cNvPr>
            <xdr:cNvSpPr txBox="1"/>
          </xdr:nvSpPr>
          <xdr:spPr>
            <a:xfrm>
              <a:off x="8257497" y="1040300"/>
              <a:ext cx="723275" cy="267509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s-E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000">
                  <a:latin typeface="Avenir Book" panose="02000503020000020003" pitchFamily="2" charset="0"/>
                </a:rPr>
                <a:t>50 MW</a:t>
              </a:r>
            </a:p>
          </xdr:txBody>
        </xdr:sp>
        <xdr:sp macro="" textlink="">
          <xdr:nvSpPr>
            <xdr:cNvPr id="43" name="TextBox 59">
              <a:extLst>
                <a:ext uri="{FF2B5EF4-FFF2-40B4-BE49-F238E27FC236}">
                  <a16:creationId xmlns:a16="http://schemas.microsoft.com/office/drawing/2014/main" id="{7E43FB93-247D-700C-9CDE-A27A3DD0FC43}"/>
                </a:ext>
              </a:extLst>
            </xdr:cNvPr>
            <xdr:cNvSpPr txBox="1"/>
          </xdr:nvSpPr>
          <xdr:spPr>
            <a:xfrm>
              <a:off x="7710139" y="633116"/>
              <a:ext cx="596638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s-E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000">
                  <a:latin typeface="Avenir Book" panose="02000503020000020003" pitchFamily="2" charset="0"/>
                </a:rPr>
                <a:t>80 MW</a:t>
              </a:r>
            </a:p>
          </xdr:txBody>
        </xdr:sp>
        <xdr:cxnSp macro="">
          <xdr:nvCxnSpPr>
            <xdr:cNvPr id="44" name="Conector recto 337">
              <a:extLst>
                <a:ext uri="{FF2B5EF4-FFF2-40B4-BE49-F238E27FC236}">
                  <a16:creationId xmlns:a16="http://schemas.microsoft.com/office/drawing/2014/main" id="{7A080083-FAFE-5C8E-FABD-D334319AC2CD}"/>
                </a:ext>
              </a:extLst>
            </xdr:cNvPr>
            <xdr:cNvCxnSpPr>
              <a:cxnSpLocks/>
            </xdr:cNvCxnSpPr>
          </xdr:nvCxnSpPr>
          <xdr:spPr>
            <a:xfrm>
              <a:off x="6351728" y="3138321"/>
              <a:ext cx="0" cy="217969"/>
            </a:xfrm>
            <a:prstGeom prst="line">
              <a:avLst/>
            </a:prstGeom>
            <a:ln w="19050" cmpd="sng">
              <a:solidFill>
                <a:schemeClr val="tx1"/>
              </a:solidFill>
              <a:headEnd type="none"/>
              <a:tailEnd type="none"/>
            </a:ln>
            <a:effectLst/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5" name="Conector recto 337">
              <a:extLst>
                <a:ext uri="{FF2B5EF4-FFF2-40B4-BE49-F238E27FC236}">
                  <a16:creationId xmlns:a16="http://schemas.microsoft.com/office/drawing/2014/main" id="{E038059E-9C9B-C3EE-06AE-790F64E8F75E}"/>
                </a:ext>
              </a:extLst>
            </xdr:cNvPr>
            <xdr:cNvCxnSpPr>
              <a:cxnSpLocks/>
            </xdr:cNvCxnSpPr>
          </xdr:nvCxnSpPr>
          <xdr:spPr>
            <a:xfrm flipV="1">
              <a:off x="6344088" y="1165476"/>
              <a:ext cx="1752915" cy="1984873"/>
            </a:xfrm>
            <a:prstGeom prst="line">
              <a:avLst/>
            </a:prstGeom>
            <a:ln w="19050" cmpd="sng">
              <a:solidFill>
                <a:schemeClr val="tx1"/>
              </a:solidFill>
              <a:headEnd type="none"/>
              <a:tailEnd type="none"/>
            </a:ln>
            <a:effectLst/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6" name="TextBox 450">
              <a:extLst>
                <a:ext uri="{FF2B5EF4-FFF2-40B4-BE49-F238E27FC236}">
                  <a16:creationId xmlns:a16="http://schemas.microsoft.com/office/drawing/2014/main" id="{AD621C0A-940F-46CB-569A-5EED2FFD6784}"/>
                </a:ext>
              </a:extLst>
            </xdr:cNvPr>
            <xdr:cNvSpPr txBox="1"/>
          </xdr:nvSpPr>
          <xdr:spPr>
            <a:xfrm>
              <a:off x="7999049" y="1177264"/>
              <a:ext cx="255198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s-E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000">
                  <a:latin typeface="Avenir Book" panose="02000503020000020003" pitchFamily="2" charset="0"/>
                </a:rPr>
                <a:t>1</a:t>
              </a:r>
            </a:p>
          </xdr:txBody>
        </xdr:sp>
        <xdr:sp macro="" textlink="">
          <xdr:nvSpPr>
            <xdr:cNvPr id="47" name="TextBox 505">
              <a:extLst>
                <a:ext uri="{FF2B5EF4-FFF2-40B4-BE49-F238E27FC236}">
                  <a16:creationId xmlns:a16="http://schemas.microsoft.com/office/drawing/2014/main" id="{C878BCBB-15A5-D4A0-5311-EDF74F0D3BEE}"/>
                </a:ext>
              </a:extLst>
            </xdr:cNvPr>
            <xdr:cNvSpPr txBox="1"/>
          </xdr:nvSpPr>
          <xdr:spPr>
            <a:xfrm>
              <a:off x="6474392" y="3259412"/>
              <a:ext cx="667170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s-E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000">
                  <a:latin typeface="Avenir Book" panose="02000503020000020003" pitchFamily="2" charset="0"/>
                </a:rPr>
                <a:t>240 MW</a:t>
              </a:r>
            </a:p>
          </xdr:txBody>
        </xdr:sp>
        <xdr:cxnSp macro="">
          <xdr:nvCxnSpPr>
            <xdr:cNvPr id="48" name="Conector recto 337">
              <a:extLst>
                <a:ext uri="{FF2B5EF4-FFF2-40B4-BE49-F238E27FC236}">
                  <a16:creationId xmlns:a16="http://schemas.microsoft.com/office/drawing/2014/main" id="{70221B00-F646-6943-F994-0198B5F5F686}"/>
                </a:ext>
              </a:extLst>
            </xdr:cNvPr>
            <xdr:cNvCxnSpPr>
              <a:cxnSpLocks/>
            </xdr:cNvCxnSpPr>
          </xdr:nvCxnSpPr>
          <xdr:spPr>
            <a:xfrm>
              <a:off x="6203464" y="3138321"/>
              <a:ext cx="2332" cy="334426"/>
            </a:xfrm>
            <a:prstGeom prst="line">
              <a:avLst/>
            </a:prstGeom>
            <a:ln w="25400" cmpd="sng">
              <a:solidFill>
                <a:schemeClr val="tx1"/>
              </a:solidFill>
              <a:headEnd type="none" w="med" len="med"/>
              <a:tailEnd type="triangle" w="med" len="lg"/>
            </a:ln>
            <a:effectLst/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9" name="Conector recto 337">
              <a:extLst>
                <a:ext uri="{FF2B5EF4-FFF2-40B4-BE49-F238E27FC236}">
                  <a16:creationId xmlns:a16="http://schemas.microsoft.com/office/drawing/2014/main" id="{FF3AAC00-2730-EE45-E0A8-829DE163DC2D}"/>
                </a:ext>
              </a:extLst>
            </xdr:cNvPr>
            <xdr:cNvCxnSpPr>
              <a:cxnSpLocks/>
            </xdr:cNvCxnSpPr>
          </xdr:nvCxnSpPr>
          <xdr:spPr>
            <a:xfrm flipH="1" flipV="1">
              <a:off x="5603152" y="2127489"/>
              <a:ext cx="602644" cy="1022860"/>
            </a:xfrm>
            <a:prstGeom prst="line">
              <a:avLst/>
            </a:prstGeom>
            <a:ln w="19050" cmpd="sng">
              <a:solidFill>
                <a:schemeClr val="tx1"/>
              </a:solidFill>
              <a:headEnd type="none"/>
              <a:tailEnd type="none"/>
            </a:ln>
            <a:effectLst/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0" name="Rectángulo 188">
              <a:extLst>
                <a:ext uri="{FF2B5EF4-FFF2-40B4-BE49-F238E27FC236}">
                  <a16:creationId xmlns:a16="http://schemas.microsoft.com/office/drawing/2014/main" id="{D6EE0CC7-4C3E-212B-60CC-44160341B520}"/>
                </a:ext>
              </a:extLst>
            </xdr:cNvPr>
            <xdr:cNvSpPr/>
          </xdr:nvSpPr>
          <xdr:spPr>
            <a:xfrm rot="16200000">
              <a:off x="6177440" y="2983399"/>
              <a:ext cx="48345" cy="528170"/>
            </a:xfrm>
            <a:prstGeom prst="rect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  <a:effectLst/>
          </xdr:spPr>
          <xdr:style>
            <a:lnRef idx="1">
              <a:schemeClr val="accent1"/>
            </a:lnRef>
            <a:fillRef idx="3">
              <a:schemeClr val="accent1"/>
            </a:fillRef>
            <a:effectRef idx="2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6000"/>
            </a:p>
          </xdr:txBody>
        </xdr:sp>
        <xdr:cxnSp macro="">
          <xdr:nvCxnSpPr>
            <xdr:cNvPr id="51" name="Conector recto 337">
              <a:extLst>
                <a:ext uri="{FF2B5EF4-FFF2-40B4-BE49-F238E27FC236}">
                  <a16:creationId xmlns:a16="http://schemas.microsoft.com/office/drawing/2014/main" id="{96538A70-CE9A-B54C-6675-62E389172DF5}"/>
                </a:ext>
              </a:extLst>
            </xdr:cNvPr>
            <xdr:cNvCxnSpPr>
              <a:cxnSpLocks/>
            </xdr:cNvCxnSpPr>
          </xdr:nvCxnSpPr>
          <xdr:spPr>
            <a:xfrm>
              <a:off x="8097003" y="5410947"/>
              <a:ext cx="0" cy="228996"/>
            </a:xfrm>
            <a:prstGeom prst="line">
              <a:avLst/>
            </a:prstGeom>
            <a:ln w="25400" cmpd="sng">
              <a:solidFill>
                <a:schemeClr val="tx1"/>
              </a:solidFill>
              <a:headEnd type="none" w="med" len="med"/>
              <a:tailEnd type="triangle" w="med" len="lg"/>
            </a:ln>
            <a:effectLst/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2" name="Conector recto 337">
              <a:extLst>
                <a:ext uri="{FF2B5EF4-FFF2-40B4-BE49-F238E27FC236}">
                  <a16:creationId xmlns:a16="http://schemas.microsoft.com/office/drawing/2014/main" id="{C3CFBF62-8C5B-83C7-2F40-75778AE5D06F}"/>
                </a:ext>
              </a:extLst>
            </xdr:cNvPr>
            <xdr:cNvCxnSpPr>
              <a:cxnSpLocks/>
            </xdr:cNvCxnSpPr>
          </xdr:nvCxnSpPr>
          <xdr:spPr>
            <a:xfrm>
              <a:off x="8017016" y="5316253"/>
              <a:ext cx="0" cy="121607"/>
            </a:xfrm>
            <a:prstGeom prst="line">
              <a:avLst/>
            </a:prstGeom>
            <a:ln w="19050" cmpd="sng">
              <a:solidFill>
                <a:schemeClr val="tx1"/>
              </a:solidFill>
              <a:headEnd type="none"/>
              <a:tailEnd type="none"/>
            </a:ln>
            <a:effectLst/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3" name="Conector recto 337">
              <a:extLst>
                <a:ext uri="{FF2B5EF4-FFF2-40B4-BE49-F238E27FC236}">
                  <a16:creationId xmlns:a16="http://schemas.microsoft.com/office/drawing/2014/main" id="{AD4FA01B-2A44-6692-62CF-773E106CB276}"/>
                </a:ext>
              </a:extLst>
            </xdr:cNvPr>
            <xdr:cNvCxnSpPr>
              <a:cxnSpLocks/>
            </xdr:cNvCxnSpPr>
          </xdr:nvCxnSpPr>
          <xdr:spPr>
            <a:xfrm flipH="1" flipV="1">
              <a:off x="6351728" y="3356290"/>
              <a:ext cx="1665288" cy="1959963"/>
            </a:xfrm>
            <a:prstGeom prst="line">
              <a:avLst/>
            </a:prstGeom>
            <a:ln w="19050" cmpd="sng">
              <a:solidFill>
                <a:schemeClr val="tx1"/>
              </a:solidFill>
              <a:headEnd type="none"/>
              <a:tailEnd type="none"/>
            </a:ln>
            <a:effectLst/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4" name="TextBox 580">
              <a:extLst>
                <a:ext uri="{FF2B5EF4-FFF2-40B4-BE49-F238E27FC236}">
                  <a16:creationId xmlns:a16="http://schemas.microsoft.com/office/drawing/2014/main" id="{6FB421A4-E3A7-29EE-63EC-CE3874CA3024}"/>
                </a:ext>
              </a:extLst>
            </xdr:cNvPr>
            <xdr:cNvSpPr txBox="1"/>
          </xdr:nvSpPr>
          <xdr:spPr>
            <a:xfrm>
              <a:off x="7969404" y="5158737"/>
              <a:ext cx="255198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s-E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000">
                  <a:latin typeface="Avenir Book" panose="02000503020000020003" pitchFamily="2" charset="0"/>
                </a:rPr>
                <a:t>4</a:t>
              </a:r>
            </a:p>
          </xdr:txBody>
        </xdr:sp>
        <xdr:cxnSp macro="">
          <xdr:nvCxnSpPr>
            <xdr:cNvPr id="55" name="Conector recto 337">
              <a:extLst>
                <a:ext uri="{FF2B5EF4-FFF2-40B4-BE49-F238E27FC236}">
                  <a16:creationId xmlns:a16="http://schemas.microsoft.com/office/drawing/2014/main" id="{1BDD29E4-A5D8-F6CA-CF24-C24A5386FBA3}"/>
                </a:ext>
              </a:extLst>
            </xdr:cNvPr>
            <xdr:cNvCxnSpPr>
              <a:cxnSpLocks/>
            </xdr:cNvCxnSpPr>
          </xdr:nvCxnSpPr>
          <xdr:spPr>
            <a:xfrm flipH="1">
              <a:off x="5983967" y="5398065"/>
              <a:ext cx="1" cy="202346"/>
            </a:xfrm>
            <a:prstGeom prst="line">
              <a:avLst/>
            </a:prstGeom>
            <a:ln w="19050" cmpd="sng">
              <a:solidFill>
                <a:schemeClr val="tx1"/>
              </a:solidFill>
              <a:headEnd type="none"/>
              <a:tailEnd type="none"/>
            </a:ln>
            <a:effectLst/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6" name="Rectángulo 188">
              <a:extLst>
                <a:ext uri="{FF2B5EF4-FFF2-40B4-BE49-F238E27FC236}">
                  <a16:creationId xmlns:a16="http://schemas.microsoft.com/office/drawing/2014/main" id="{F713822E-36FD-4138-788C-CC00B1D4DCFA}"/>
                </a:ext>
              </a:extLst>
            </xdr:cNvPr>
            <xdr:cNvSpPr/>
          </xdr:nvSpPr>
          <xdr:spPr>
            <a:xfrm rot="16200000">
              <a:off x="5986413" y="5182008"/>
              <a:ext cx="53826" cy="407317"/>
            </a:xfrm>
            <a:prstGeom prst="rect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  <a:effectLst/>
          </xdr:spPr>
          <xdr:style>
            <a:lnRef idx="1">
              <a:schemeClr val="accent1"/>
            </a:lnRef>
            <a:fillRef idx="3">
              <a:schemeClr val="accent1"/>
            </a:fillRef>
            <a:effectRef idx="2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6000"/>
            </a:p>
          </xdr:txBody>
        </xdr:sp>
        <xdr:sp macro="" textlink="">
          <xdr:nvSpPr>
            <xdr:cNvPr id="57" name="TextBox 584">
              <a:extLst>
                <a:ext uri="{FF2B5EF4-FFF2-40B4-BE49-F238E27FC236}">
                  <a16:creationId xmlns:a16="http://schemas.microsoft.com/office/drawing/2014/main" id="{1A668AB1-D10F-E594-B20C-C2B2D0FB62F8}"/>
                </a:ext>
              </a:extLst>
            </xdr:cNvPr>
            <xdr:cNvSpPr txBox="1"/>
          </xdr:nvSpPr>
          <xdr:spPr>
            <a:xfrm>
              <a:off x="6075865" y="5409042"/>
              <a:ext cx="255198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s-E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000">
                  <a:latin typeface="Avenir Book" panose="02000503020000020003" pitchFamily="2" charset="0"/>
                </a:rPr>
                <a:t>6</a:t>
              </a:r>
            </a:p>
          </xdr:txBody>
        </xdr:sp>
        <xdr:sp macro="" textlink="">
          <xdr:nvSpPr>
            <xdr:cNvPr id="58" name="TextBox 585">
              <a:extLst>
                <a:ext uri="{FF2B5EF4-FFF2-40B4-BE49-F238E27FC236}">
                  <a16:creationId xmlns:a16="http://schemas.microsoft.com/office/drawing/2014/main" id="{89C70F16-3E7E-7644-FF09-08F4840F608C}"/>
                </a:ext>
              </a:extLst>
            </xdr:cNvPr>
            <xdr:cNvSpPr txBox="1"/>
          </xdr:nvSpPr>
          <xdr:spPr>
            <a:xfrm>
              <a:off x="6125813" y="5618008"/>
              <a:ext cx="723275" cy="267509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s-E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000">
                  <a:latin typeface="Avenir Book" panose="02000503020000020003" pitchFamily="2" charset="0"/>
                </a:rPr>
                <a:t>545MW</a:t>
              </a:r>
            </a:p>
          </xdr:txBody>
        </xdr:sp>
        <xdr:sp macro="" textlink="">
          <xdr:nvSpPr>
            <xdr:cNvPr id="59" name="TextBox 586">
              <a:extLst>
                <a:ext uri="{FF2B5EF4-FFF2-40B4-BE49-F238E27FC236}">
                  <a16:creationId xmlns:a16="http://schemas.microsoft.com/office/drawing/2014/main" id="{E98B94F1-262B-A435-38DD-7599C0768FD5}"/>
                </a:ext>
              </a:extLst>
            </xdr:cNvPr>
            <xdr:cNvSpPr txBox="1"/>
          </xdr:nvSpPr>
          <xdr:spPr>
            <a:xfrm>
              <a:off x="7755599" y="5587350"/>
              <a:ext cx="667170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s-E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000">
                  <a:latin typeface="Avenir Book" panose="02000503020000020003" pitchFamily="2" charset="0"/>
                </a:rPr>
                <a:t>160 MW</a:t>
              </a:r>
            </a:p>
          </xdr:txBody>
        </xdr:sp>
        <xdr:sp macro="" textlink="">
          <xdr:nvSpPr>
            <xdr:cNvPr id="60" name="TextBox 588">
              <a:extLst>
                <a:ext uri="{FF2B5EF4-FFF2-40B4-BE49-F238E27FC236}">
                  <a16:creationId xmlns:a16="http://schemas.microsoft.com/office/drawing/2014/main" id="{C1E31515-D9A9-A36B-BF84-3854D6A921D8}"/>
                </a:ext>
              </a:extLst>
            </xdr:cNvPr>
            <xdr:cNvSpPr txBox="1"/>
          </xdr:nvSpPr>
          <xdr:spPr>
            <a:xfrm>
              <a:off x="6161586" y="2971602"/>
              <a:ext cx="255198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s-E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000">
                  <a:latin typeface="Avenir Book" panose="02000503020000020003" pitchFamily="2" charset="0"/>
                </a:rPr>
                <a:t>2</a:t>
              </a:r>
            </a:p>
          </xdr:txBody>
        </xdr:sp>
        <xdr:cxnSp macro="">
          <xdr:nvCxnSpPr>
            <xdr:cNvPr id="61" name="Conector recto 337">
              <a:extLst>
                <a:ext uri="{FF2B5EF4-FFF2-40B4-BE49-F238E27FC236}">
                  <a16:creationId xmlns:a16="http://schemas.microsoft.com/office/drawing/2014/main" id="{4705B7CC-9C3F-F579-3B90-BDB5EBD2904D}"/>
                </a:ext>
              </a:extLst>
            </xdr:cNvPr>
            <xdr:cNvCxnSpPr>
              <a:cxnSpLocks/>
            </xdr:cNvCxnSpPr>
          </xdr:nvCxnSpPr>
          <xdr:spPr>
            <a:xfrm flipV="1">
              <a:off x="7996904" y="834556"/>
              <a:ext cx="0" cy="236858"/>
            </a:xfrm>
            <a:prstGeom prst="line">
              <a:avLst/>
            </a:prstGeom>
            <a:ln w="25400" cmpd="sng">
              <a:solidFill>
                <a:schemeClr val="tx1"/>
              </a:solidFill>
              <a:headEnd type="none" w="med" len="med"/>
              <a:tailEnd type="triangle" w="med" len="lg"/>
            </a:ln>
            <a:effectLst/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14" name="Conector recto 337">
            <a:extLst>
              <a:ext uri="{FF2B5EF4-FFF2-40B4-BE49-F238E27FC236}">
                <a16:creationId xmlns:a16="http://schemas.microsoft.com/office/drawing/2014/main" id="{DA0F893E-9C5C-9DA3-26B5-646281C07DD1}"/>
              </a:ext>
            </a:extLst>
          </xdr:cNvPr>
          <xdr:cNvCxnSpPr>
            <a:cxnSpLocks/>
          </xdr:cNvCxnSpPr>
        </xdr:nvCxnSpPr>
        <xdr:spPr>
          <a:xfrm flipH="1" flipV="1">
            <a:off x="6974282" y="5112952"/>
            <a:ext cx="2227" cy="128050"/>
          </a:xfrm>
          <a:prstGeom prst="line">
            <a:avLst/>
          </a:prstGeom>
          <a:ln w="15875" cmpd="sng">
            <a:solidFill>
              <a:srgbClr val="00B050"/>
            </a:solidFill>
            <a:prstDash val="solid"/>
            <a:headEnd type="none"/>
            <a:tailEnd type="none"/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" name="Conector recto 337">
            <a:extLst>
              <a:ext uri="{FF2B5EF4-FFF2-40B4-BE49-F238E27FC236}">
                <a16:creationId xmlns:a16="http://schemas.microsoft.com/office/drawing/2014/main" id="{D5712BC8-FA99-CC23-821A-F39B06A10EA7}"/>
              </a:ext>
            </a:extLst>
          </xdr:cNvPr>
          <xdr:cNvCxnSpPr>
            <a:cxnSpLocks/>
          </xdr:cNvCxnSpPr>
        </xdr:nvCxnSpPr>
        <xdr:spPr>
          <a:xfrm flipH="1" flipV="1">
            <a:off x="8646995" y="5173884"/>
            <a:ext cx="2227" cy="128050"/>
          </a:xfrm>
          <a:prstGeom prst="line">
            <a:avLst/>
          </a:prstGeom>
          <a:ln w="15875" cmpd="sng">
            <a:solidFill>
              <a:srgbClr val="00B050"/>
            </a:solidFill>
            <a:prstDash val="solid"/>
            <a:headEnd type="none"/>
            <a:tailEnd type="none"/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Conector recto 337">
            <a:extLst>
              <a:ext uri="{FF2B5EF4-FFF2-40B4-BE49-F238E27FC236}">
                <a16:creationId xmlns:a16="http://schemas.microsoft.com/office/drawing/2014/main" id="{344C2B1A-26C2-76BE-21FC-A27739423F55}"/>
              </a:ext>
            </a:extLst>
          </xdr:cNvPr>
          <xdr:cNvCxnSpPr>
            <a:cxnSpLocks/>
          </xdr:cNvCxnSpPr>
        </xdr:nvCxnSpPr>
        <xdr:spPr>
          <a:xfrm>
            <a:off x="6961421" y="5124312"/>
            <a:ext cx="1692399" cy="53838"/>
          </a:xfrm>
          <a:prstGeom prst="line">
            <a:avLst/>
          </a:prstGeom>
          <a:ln w="15875" cmpd="sng">
            <a:solidFill>
              <a:srgbClr val="00B050"/>
            </a:solidFill>
            <a:prstDash val="solid"/>
            <a:headEnd type="none"/>
            <a:tailEnd type="none"/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31</xdr:col>
      <xdr:colOff>661010</xdr:colOff>
      <xdr:row>4</xdr:row>
      <xdr:rowOff>39568</xdr:rowOff>
    </xdr:from>
    <xdr:to>
      <xdr:col>32</xdr:col>
      <xdr:colOff>356210</xdr:colOff>
      <xdr:row>4</xdr:row>
      <xdr:rowOff>39568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64E65569-C78A-8E44-878C-58A420E2BA0C}"/>
            </a:ext>
          </a:extLst>
        </xdr:cNvPr>
        <xdr:cNvCxnSpPr/>
      </xdr:nvCxnSpPr>
      <xdr:spPr>
        <a:xfrm flipH="1">
          <a:off x="20041210" y="801568"/>
          <a:ext cx="520700" cy="0"/>
        </a:xfrm>
        <a:prstGeom prst="straightConnector1">
          <a:avLst/>
        </a:prstGeom>
        <a:ln>
          <a:tailEnd type="triangle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383315</xdr:colOff>
      <xdr:row>5</xdr:row>
      <xdr:rowOff>44939</xdr:rowOff>
    </xdr:from>
    <xdr:to>
      <xdr:col>30</xdr:col>
      <xdr:colOff>669982</xdr:colOff>
      <xdr:row>6</xdr:row>
      <xdr:rowOff>71603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3B5B3D89-42B6-004B-92DC-9E62C08D6EBD}"/>
            </a:ext>
          </a:extLst>
        </xdr:cNvPr>
        <xdr:cNvCxnSpPr/>
      </xdr:nvCxnSpPr>
      <xdr:spPr>
        <a:xfrm flipV="1">
          <a:off x="18938015" y="997439"/>
          <a:ext cx="286667" cy="217164"/>
        </a:xfrm>
        <a:prstGeom prst="straightConnector1">
          <a:avLst/>
        </a:prstGeom>
        <a:ln>
          <a:tailEnd type="triangle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27892</xdr:colOff>
      <xdr:row>18</xdr:row>
      <xdr:rowOff>8523</xdr:rowOff>
    </xdr:from>
    <xdr:to>
      <xdr:col>31</xdr:col>
      <xdr:colOff>292710</xdr:colOff>
      <xdr:row>19</xdr:row>
      <xdr:rowOff>141168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A861483E-6F9E-0D41-BAE9-4E54C4601256}"/>
            </a:ext>
          </a:extLst>
        </xdr:cNvPr>
        <xdr:cNvCxnSpPr/>
      </xdr:nvCxnSpPr>
      <xdr:spPr>
        <a:xfrm>
          <a:off x="19408092" y="3437523"/>
          <a:ext cx="264818" cy="323145"/>
        </a:xfrm>
        <a:prstGeom prst="straightConnector1">
          <a:avLst/>
        </a:prstGeom>
        <a:ln>
          <a:tailEnd type="triangle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303549</xdr:colOff>
      <xdr:row>24</xdr:row>
      <xdr:rowOff>157043</xdr:rowOff>
    </xdr:from>
    <xdr:to>
      <xdr:col>30</xdr:col>
      <xdr:colOff>305410</xdr:colOff>
      <xdr:row>25</xdr:row>
      <xdr:rowOff>170788</xdr:rowOff>
    </xdr:to>
    <xdr:cxnSp macro="">
      <xdr:nvCxnSpPr>
        <xdr:cNvPr id="69" name="Conector recto 337">
          <a:extLst>
            <a:ext uri="{FF2B5EF4-FFF2-40B4-BE49-F238E27FC236}">
              <a16:creationId xmlns:a16="http://schemas.microsoft.com/office/drawing/2014/main" id="{51FE188F-1707-0445-82BB-5418C70AC9B2}"/>
            </a:ext>
          </a:extLst>
        </xdr:cNvPr>
        <xdr:cNvCxnSpPr>
          <a:cxnSpLocks/>
        </xdr:cNvCxnSpPr>
      </xdr:nvCxnSpPr>
      <xdr:spPr>
        <a:xfrm flipV="1">
          <a:off x="18858249" y="4729043"/>
          <a:ext cx="1861" cy="204245"/>
        </a:xfrm>
        <a:prstGeom prst="line">
          <a:avLst/>
        </a:prstGeom>
        <a:ln w="19050" cmpd="sng">
          <a:solidFill>
            <a:srgbClr val="00B050"/>
          </a:solidFill>
          <a:headEnd type="none"/>
          <a:tailEnd type="none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307924</xdr:colOff>
      <xdr:row>24</xdr:row>
      <xdr:rowOff>165814</xdr:rowOff>
    </xdr:from>
    <xdr:to>
      <xdr:col>32</xdr:col>
      <xdr:colOff>414806</xdr:colOff>
      <xdr:row>25</xdr:row>
      <xdr:rowOff>50759</xdr:rowOff>
    </xdr:to>
    <xdr:cxnSp macro="">
      <xdr:nvCxnSpPr>
        <xdr:cNvPr id="70" name="Conector recto 337">
          <a:extLst>
            <a:ext uri="{FF2B5EF4-FFF2-40B4-BE49-F238E27FC236}">
              <a16:creationId xmlns:a16="http://schemas.microsoft.com/office/drawing/2014/main" id="{9093F237-6BE5-8246-8A29-220C11E33C73}"/>
            </a:ext>
          </a:extLst>
        </xdr:cNvPr>
        <xdr:cNvCxnSpPr>
          <a:cxnSpLocks/>
        </xdr:cNvCxnSpPr>
      </xdr:nvCxnSpPr>
      <xdr:spPr>
        <a:xfrm flipH="1" flipV="1">
          <a:off x="18862624" y="4737814"/>
          <a:ext cx="1757882" cy="75445"/>
        </a:xfrm>
        <a:prstGeom prst="line">
          <a:avLst/>
        </a:prstGeom>
        <a:ln w="19050" cmpd="sng">
          <a:solidFill>
            <a:srgbClr val="00B050"/>
          </a:solidFill>
          <a:headEnd type="none"/>
          <a:tailEnd type="none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403835</xdr:colOff>
      <xdr:row>25</xdr:row>
      <xdr:rowOff>42743</xdr:rowOff>
    </xdr:from>
    <xdr:to>
      <xdr:col>32</xdr:col>
      <xdr:colOff>411940</xdr:colOff>
      <xdr:row>26</xdr:row>
      <xdr:rowOff>31716</xdr:rowOff>
    </xdr:to>
    <xdr:cxnSp macro="">
      <xdr:nvCxnSpPr>
        <xdr:cNvPr id="71" name="Conector recto 337">
          <a:extLst>
            <a:ext uri="{FF2B5EF4-FFF2-40B4-BE49-F238E27FC236}">
              <a16:creationId xmlns:a16="http://schemas.microsoft.com/office/drawing/2014/main" id="{29550700-4DA5-E441-9EB5-C2D55315A1DA}"/>
            </a:ext>
          </a:extLst>
        </xdr:cNvPr>
        <xdr:cNvCxnSpPr>
          <a:cxnSpLocks/>
        </xdr:cNvCxnSpPr>
      </xdr:nvCxnSpPr>
      <xdr:spPr>
        <a:xfrm flipH="1" flipV="1">
          <a:off x="20609535" y="4805243"/>
          <a:ext cx="8105" cy="179473"/>
        </a:xfrm>
        <a:prstGeom prst="line">
          <a:avLst/>
        </a:prstGeom>
        <a:ln w="19050" cmpd="sng">
          <a:solidFill>
            <a:srgbClr val="00B050"/>
          </a:solidFill>
          <a:headEnd type="none"/>
          <a:tailEnd type="none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192746</xdr:colOff>
      <xdr:row>24</xdr:row>
      <xdr:rowOff>119539</xdr:rowOff>
    </xdr:from>
    <xdr:to>
      <xdr:col>32</xdr:col>
      <xdr:colOff>37579</xdr:colOff>
      <xdr:row>24</xdr:row>
      <xdr:rowOff>153240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51E29CF2-ACA8-094C-B3C0-66A10A64ED81}"/>
            </a:ext>
          </a:extLst>
        </xdr:cNvPr>
        <xdr:cNvCxnSpPr/>
      </xdr:nvCxnSpPr>
      <xdr:spPr>
        <a:xfrm>
          <a:off x="19572946" y="4691539"/>
          <a:ext cx="670333" cy="33701"/>
        </a:xfrm>
        <a:prstGeom prst="straightConnector1">
          <a:avLst/>
        </a:prstGeom>
        <a:ln>
          <a:tailEnd type="triangle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213047</xdr:colOff>
      <xdr:row>14</xdr:row>
      <xdr:rowOff>175453</xdr:rowOff>
    </xdr:from>
    <xdr:to>
      <xdr:col>30</xdr:col>
      <xdr:colOff>221928</xdr:colOff>
      <xdr:row>25</xdr:row>
      <xdr:rowOff>160798</xdr:rowOff>
    </xdr:to>
    <xdr:cxnSp macro="">
      <xdr:nvCxnSpPr>
        <xdr:cNvPr id="74" name="Conector recto 337">
          <a:extLst>
            <a:ext uri="{FF2B5EF4-FFF2-40B4-BE49-F238E27FC236}">
              <a16:creationId xmlns:a16="http://schemas.microsoft.com/office/drawing/2014/main" id="{6B496D42-115D-A942-9A71-7380691481C2}"/>
            </a:ext>
          </a:extLst>
        </xdr:cNvPr>
        <xdr:cNvCxnSpPr>
          <a:cxnSpLocks/>
        </xdr:cNvCxnSpPr>
      </xdr:nvCxnSpPr>
      <xdr:spPr>
        <a:xfrm flipV="1">
          <a:off x="18767747" y="2842453"/>
          <a:ext cx="8881" cy="2080845"/>
        </a:xfrm>
        <a:prstGeom prst="line">
          <a:avLst/>
        </a:prstGeom>
        <a:ln w="19050" cmpd="sng">
          <a:solidFill>
            <a:srgbClr val="00B050"/>
          </a:solidFill>
          <a:headEnd type="none"/>
          <a:tailEnd type="none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411835</xdr:colOff>
      <xdr:row>20</xdr:row>
      <xdr:rowOff>122846</xdr:rowOff>
    </xdr:from>
    <xdr:to>
      <xdr:col>30</xdr:col>
      <xdr:colOff>417148</xdr:colOff>
      <xdr:row>23</xdr:row>
      <xdr:rowOff>159695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1B6D6212-2237-6840-94DF-587840F3CC44}"/>
            </a:ext>
          </a:extLst>
        </xdr:cNvPr>
        <xdr:cNvCxnSpPr/>
      </xdr:nvCxnSpPr>
      <xdr:spPr>
        <a:xfrm flipV="1">
          <a:off x="18966535" y="3932846"/>
          <a:ext cx="5313" cy="608349"/>
        </a:xfrm>
        <a:prstGeom prst="straightConnector1">
          <a:avLst/>
        </a:prstGeom>
        <a:ln>
          <a:tailEnd type="triangle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673918</xdr:colOff>
      <xdr:row>11</xdr:row>
      <xdr:rowOff>1607</xdr:rowOff>
    </xdr:from>
    <xdr:to>
      <xdr:col>30</xdr:col>
      <xdr:colOff>51271</xdr:colOff>
      <xdr:row>12</xdr:row>
      <xdr:rowOff>130550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0335FBED-F701-E04B-BDD1-EC7DE5F4BD75}"/>
            </a:ext>
          </a:extLst>
        </xdr:cNvPr>
        <xdr:cNvCxnSpPr/>
      </xdr:nvCxnSpPr>
      <xdr:spPr>
        <a:xfrm flipH="1" flipV="1">
          <a:off x="18403118" y="2097107"/>
          <a:ext cx="202853" cy="319443"/>
        </a:xfrm>
        <a:prstGeom prst="straightConnector1">
          <a:avLst/>
        </a:prstGeom>
        <a:ln>
          <a:tailEnd type="triangle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266265</xdr:colOff>
      <xdr:row>14</xdr:row>
      <xdr:rowOff>175453</xdr:rowOff>
    </xdr:from>
    <xdr:to>
      <xdr:col>30</xdr:col>
      <xdr:colOff>274339</xdr:colOff>
      <xdr:row>25</xdr:row>
      <xdr:rowOff>160798</xdr:rowOff>
    </xdr:to>
    <xdr:cxnSp macro="">
      <xdr:nvCxnSpPr>
        <xdr:cNvPr id="77" name="Conector recto 337">
          <a:extLst>
            <a:ext uri="{FF2B5EF4-FFF2-40B4-BE49-F238E27FC236}">
              <a16:creationId xmlns:a16="http://schemas.microsoft.com/office/drawing/2014/main" id="{168860E3-FE46-F442-984E-D7D8BFB3EEFB}"/>
            </a:ext>
          </a:extLst>
        </xdr:cNvPr>
        <xdr:cNvCxnSpPr>
          <a:cxnSpLocks/>
        </xdr:cNvCxnSpPr>
      </xdr:nvCxnSpPr>
      <xdr:spPr>
        <a:xfrm flipV="1">
          <a:off x="18820965" y="2842453"/>
          <a:ext cx="8074" cy="2080845"/>
        </a:xfrm>
        <a:prstGeom prst="line">
          <a:avLst/>
        </a:prstGeom>
        <a:ln w="19050" cmpd="sng">
          <a:solidFill>
            <a:srgbClr val="00B050"/>
          </a:solidFill>
          <a:headEnd type="none"/>
          <a:tailEnd type="none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164663</xdr:colOff>
      <xdr:row>14</xdr:row>
      <xdr:rowOff>183277</xdr:rowOff>
    </xdr:from>
    <xdr:to>
      <xdr:col>30</xdr:col>
      <xdr:colOff>172737</xdr:colOff>
      <xdr:row>25</xdr:row>
      <xdr:rowOff>168622</xdr:rowOff>
    </xdr:to>
    <xdr:cxnSp macro="">
      <xdr:nvCxnSpPr>
        <xdr:cNvPr id="78" name="Conector recto 337">
          <a:extLst>
            <a:ext uri="{FF2B5EF4-FFF2-40B4-BE49-F238E27FC236}">
              <a16:creationId xmlns:a16="http://schemas.microsoft.com/office/drawing/2014/main" id="{9AA8B8E7-E909-D840-BDF3-8BCB3C92D200}"/>
            </a:ext>
          </a:extLst>
        </xdr:cNvPr>
        <xdr:cNvCxnSpPr>
          <a:cxnSpLocks/>
        </xdr:cNvCxnSpPr>
      </xdr:nvCxnSpPr>
      <xdr:spPr>
        <a:xfrm flipV="1">
          <a:off x="18719363" y="2850277"/>
          <a:ext cx="8074" cy="2080845"/>
        </a:xfrm>
        <a:prstGeom prst="line">
          <a:avLst/>
        </a:prstGeom>
        <a:ln w="19050" cmpd="sng">
          <a:solidFill>
            <a:srgbClr val="00B050"/>
          </a:solidFill>
          <a:headEnd type="none"/>
          <a:tailEnd type="none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613077</xdr:colOff>
      <xdr:row>4</xdr:row>
      <xdr:rowOff>6965</xdr:rowOff>
    </xdr:from>
    <xdr:to>
      <xdr:col>30</xdr:col>
      <xdr:colOff>800457</xdr:colOff>
      <xdr:row>7</xdr:row>
      <xdr:rowOff>173246</xdr:rowOff>
    </xdr:to>
    <xdr:cxnSp macro="">
      <xdr:nvCxnSpPr>
        <xdr:cNvPr id="79" name="Conector recto 337">
          <a:extLst>
            <a:ext uri="{FF2B5EF4-FFF2-40B4-BE49-F238E27FC236}">
              <a16:creationId xmlns:a16="http://schemas.microsoft.com/office/drawing/2014/main" id="{19472F53-614E-F146-932E-1703034C9D67}"/>
            </a:ext>
          </a:extLst>
        </xdr:cNvPr>
        <xdr:cNvCxnSpPr>
          <a:cxnSpLocks/>
        </xdr:cNvCxnSpPr>
      </xdr:nvCxnSpPr>
      <xdr:spPr>
        <a:xfrm flipV="1">
          <a:off x="18342277" y="768965"/>
          <a:ext cx="1012880" cy="737781"/>
        </a:xfrm>
        <a:prstGeom prst="line">
          <a:avLst/>
        </a:prstGeom>
        <a:ln w="19050" cmpd="sng">
          <a:solidFill>
            <a:schemeClr val="tx1"/>
          </a:solidFill>
          <a:headEnd type="none"/>
          <a:tailEnd type="none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806733</xdr:colOff>
      <xdr:row>3</xdr:row>
      <xdr:rowOff>39049</xdr:rowOff>
    </xdr:from>
    <xdr:to>
      <xdr:col>30</xdr:col>
      <xdr:colOff>806774</xdr:colOff>
      <xdr:row>4</xdr:row>
      <xdr:rowOff>13284</xdr:rowOff>
    </xdr:to>
    <xdr:cxnSp macro="">
      <xdr:nvCxnSpPr>
        <xdr:cNvPr id="80" name="Conector recto 337">
          <a:extLst>
            <a:ext uri="{FF2B5EF4-FFF2-40B4-BE49-F238E27FC236}">
              <a16:creationId xmlns:a16="http://schemas.microsoft.com/office/drawing/2014/main" id="{86EDA941-CC6D-844E-82BE-37B1E7F8DBA8}"/>
            </a:ext>
          </a:extLst>
        </xdr:cNvPr>
        <xdr:cNvCxnSpPr>
          <a:cxnSpLocks/>
        </xdr:cNvCxnSpPr>
      </xdr:nvCxnSpPr>
      <xdr:spPr>
        <a:xfrm>
          <a:off x="19361433" y="610549"/>
          <a:ext cx="41" cy="164735"/>
        </a:xfrm>
        <a:prstGeom prst="line">
          <a:avLst/>
        </a:prstGeom>
        <a:ln w="19050" cmpd="sng">
          <a:solidFill>
            <a:schemeClr val="tx1"/>
          </a:solidFill>
          <a:headEnd type="none"/>
          <a:tailEnd type="none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625753</xdr:colOff>
      <xdr:row>7</xdr:row>
      <xdr:rowOff>172746</xdr:rowOff>
    </xdr:from>
    <xdr:to>
      <xdr:col>29</xdr:col>
      <xdr:colOff>626470</xdr:colOff>
      <xdr:row>8</xdr:row>
      <xdr:rowOff>96687</xdr:rowOff>
    </xdr:to>
    <xdr:cxnSp macro="">
      <xdr:nvCxnSpPr>
        <xdr:cNvPr id="81" name="Conector recto 337">
          <a:extLst>
            <a:ext uri="{FF2B5EF4-FFF2-40B4-BE49-F238E27FC236}">
              <a16:creationId xmlns:a16="http://schemas.microsoft.com/office/drawing/2014/main" id="{381B9886-BE09-3C47-92AE-DB460E00A162}"/>
            </a:ext>
          </a:extLst>
        </xdr:cNvPr>
        <xdr:cNvCxnSpPr>
          <a:cxnSpLocks/>
        </xdr:cNvCxnSpPr>
      </xdr:nvCxnSpPr>
      <xdr:spPr>
        <a:xfrm flipH="1">
          <a:off x="18354953" y="1506246"/>
          <a:ext cx="717" cy="114441"/>
        </a:xfrm>
        <a:prstGeom prst="line">
          <a:avLst/>
        </a:prstGeom>
        <a:ln w="19050" cmpd="sng">
          <a:solidFill>
            <a:schemeClr val="tx1"/>
          </a:solidFill>
          <a:headEnd type="none"/>
          <a:tailEnd type="none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124207</xdr:colOff>
      <xdr:row>14</xdr:row>
      <xdr:rowOff>180451</xdr:rowOff>
    </xdr:from>
    <xdr:to>
      <xdr:col>30</xdr:col>
      <xdr:colOff>132281</xdr:colOff>
      <xdr:row>25</xdr:row>
      <xdr:rowOff>165796</xdr:rowOff>
    </xdr:to>
    <xdr:cxnSp macro="">
      <xdr:nvCxnSpPr>
        <xdr:cNvPr id="82" name="Conector recto 337">
          <a:extLst>
            <a:ext uri="{FF2B5EF4-FFF2-40B4-BE49-F238E27FC236}">
              <a16:creationId xmlns:a16="http://schemas.microsoft.com/office/drawing/2014/main" id="{CE1B33B9-0512-B143-8EBE-223185262258}"/>
            </a:ext>
          </a:extLst>
        </xdr:cNvPr>
        <xdr:cNvCxnSpPr>
          <a:cxnSpLocks/>
        </xdr:cNvCxnSpPr>
      </xdr:nvCxnSpPr>
      <xdr:spPr>
        <a:xfrm flipV="1">
          <a:off x="18678907" y="2847451"/>
          <a:ext cx="8074" cy="2080845"/>
        </a:xfrm>
        <a:prstGeom prst="line">
          <a:avLst/>
        </a:prstGeom>
        <a:ln w="19050" cmpd="sng">
          <a:solidFill>
            <a:srgbClr val="00B050"/>
          </a:solidFill>
          <a:headEnd type="none"/>
          <a:tailEnd type="none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581635</xdr:colOff>
      <xdr:row>7</xdr:row>
      <xdr:rowOff>134818</xdr:rowOff>
    </xdr:from>
    <xdr:to>
      <xdr:col>29</xdr:col>
      <xdr:colOff>584200</xdr:colOff>
      <xdr:row>8</xdr:row>
      <xdr:rowOff>28575</xdr:rowOff>
    </xdr:to>
    <xdr:cxnSp macro="">
      <xdr:nvCxnSpPr>
        <xdr:cNvPr id="83" name="Conector recto 337">
          <a:extLst>
            <a:ext uri="{FF2B5EF4-FFF2-40B4-BE49-F238E27FC236}">
              <a16:creationId xmlns:a16="http://schemas.microsoft.com/office/drawing/2014/main" id="{85507913-21F8-AC47-A358-9C86E44178D6}"/>
            </a:ext>
          </a:extLst>
        </xdr:cNvPr>
        <xdr:cNvCxnSpPr>
          <a:cxnSpLocks/>
        </xdr:cNvCxnSpPr>
      </xdr:nvCxnSpPr>
      <xdr:spPr>
        <a:xfrm>
          <a:off x="18310835" y="1468318"/>
          <a:ext cx="2565" cy="84257"/>
        </a:xfrm>
        <a:prstGeom prst="line">
          <a:avLst/>
        </a:prstGeom>
        <a:ln w="19050" cmpd="sng">
          <a:solidFill>
            <a:srgbClr val="00B050"/>
          </a:solidFill>
          <a:headEnd type="none"/>
          <a:tailEnd type="none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104183</xdr:colOff>
      <xdr:row>5</xdr:row>
      <xdr:rowOff>11164</xdr:rowOff>
    </xdr:from>
    <xdr:to>
      <xdr:col>30</xdr:col>
      <xdr:colOff>390850</xdr:colOff>
      <xdr:row>6</xdr:row>
      <xdr:rowOff>37828</xdr:rowOff>
    </xdr:to>
    <xdr:cxnSp macro="">
      <xdr:nvCxnSpPr>
        <xdr:cNvPr id="84" name="Straight Arrow Connector 83">
          <a:extLst>
            <a:ext uri="{FF2B5EF4-FFF2-40B4-BE49-F238E27FC236}">
              <a16:creationId xmlns:a16="http://schemas.microsoft.com/office/drawing/2014/main" id="{E0E2C42E-D13C-5343-87E5-DA546D199A85}"/>
            </a:ext>
          </a:extLst>
        </xdr:cNvPr>
        <xdr:cNvCxnSpPr/>
      </xdr:nvCxnSpPr>
      <xdr:spPr>
        <a:xfrm flipV="1">
          <a:off x="18573226" y="956909"/>
          <a:ext cx="286667" cy="215813"/>
        </a:xfrm>
        <a:prstGeom prst="straightConnector1">
          <a:avLst/>
        </a:prstGeom>
        <a:ln>
          <a:tailEnd type="triangle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513"/>
  <sheetViews>
    <sheetView tabSelected="1" topLeftCell="C1" zoomScale="94" zoomScaleNormal="94" workbookViewId="0">
      <selection activeCell="T3" sqref="T3"/>
    </sheetView>
  </sheetViews>
  <sheetFormatPr baseColWidth="10" defaultRowHeight="15"/>
  <cols>
    <col min="1" max="1" width="10.140625" customWidth="1"/>
    <col min="2" max="2" width="10.7109375" customWidth="1"/>
    <col min="3" max="3" width="6.42578125" customWidth="1"/>
    <col min="4" max="4" width="9.28515625" customWidth="1"/>
    <col min="5" max="6" width="6.140625" customWidth="1"/>
    <col min="7" max="7" width="8" customWidth="1"/>
    <col min="8" max="8" width="8.7109375" customWidth="1"/>
    <col min="9" max="9" width="11.42578125" bestFit="1" customWidth="1"/>
    <col min="10" max="10" width="10.7109375" customWidth="1"/>
    <col min="11" max="13" width="7" customWidth="1"/>
    <col min="14" max="14" width="13.140625" customWidth="1"/>
    <col min="15" max="15" width="7" customWidth="1"/>
    <col min="16" max="16" width="8" customWidth="1"/>
    <col min="17" max="26" width="7" customWidth="1"/>
    <col min="27" max="27" width="12.28515625" bestFit="1" customWidth="1"/>
    <col min="28" max="28" width="3.42578125" customWidth="1"/>
  </cols>
  <sheetData>
    <row r="1" spans="1:34" s="2" customFormat="1">
      <c r="A1" s="2" t="s">
        <v>113</v>
      </c>
      <c r="P1" s="2" t="s">
        <v>111</v>
      </c>
      <c r="X1" s="2" t="s">
        <v>112</v>
      </c>
      <c r="AC1" s="52"/>
      <c r="AD1" s="52"/>
      <c r="AE1" s="52"/>
      <c r="AF1" s="52"/>
      <c r="AG1" s="52"/>
      <c r="AH1" s="52"/>
    </row>
    <row r="2" spans="1:34">
      <c r="A2" t="s">
        <v>19</v>
      </c>
      <c r="D2" t="s">
        <v>18</v>
      </c>
      <c r="E2">
        <v>2.5000000000000001E-4</v>
      </c>
      <c r="F2" s="3" t="s">
        <v>23</v>
      </c>
      <c r="G2">
        <v>0.01</v>
      </c>
      <c r="H2" t="s">
        <v>22</v>
      </c>
      <c r="N2" t="s">
        <v>25</v>
      </c>
      <c r="O2">
        <v>100</v>
      </c>
      <c r="P2" s="1" t="s">
        <v>96</v>
      </c>
      <c r="Q2" s="1" t="s">
        <v>95</v>
      </c>
      <c r="R2" s="1" t="s">
        <v>6</v>
      </c>
      <c r="U2" t="s">
        <v>8</v>
      </c>
      <c r="W2" t="s">
        <v>9</v>
      </c>
      <c r="X2" t="s">
        <v>10</v>
      </c>
      <c r="AC2" s="47"/>
      <c r="AD2" s="47"/>
      <c r="AE2" s="47"/>
      <c r="AF2" s="47"/>
      <c r="AG2" s="47"/>
      <c r="AH2" s="47"/>
    </row>
    <row r="3" spans="1:34">
      <c r="D3" t="s">
        <v>21</v>
      </c>
      <c r="F3" t="s">
        <v>16</v>
      </c>
      <c r="G3" t="s">
        <v>17</v>
      </c>
      <c r="H3" t="s">
        <v>31</v>
      </c>
      <c r="I3" s="1" t="s">
        <v>24</v>
      </c>
      <c r="P3" s="1">
        <v>50</v>
      </c>
      <c r="Q3" s="1">
        <v>80</v>
      </c>
      <c r="R3" s="1">
        <f>P3-Q3</f>
        <v>-30</v>
      </c>
      <c r="T3" t="s">
        <v>33</v>
      </c>
      <c r="U3" s="14">
        <v>1</v>
      </c>
      <c r="V3">
        <v>1</v>
      </c>
      <c r="W3">
        <v>100</v>
      </c>
      <c r="X3">
        <f t="shared" ref="X3:X4" si="0">U3*(W3*V3-0)</f>
        <v>100</v>
      </c>
      <c r="Z3" s="13"/>
      <c r="AA3" t="s">
        <v>64</v>
      </c>
      <c r="AC3" s="47"/>
      <c r="AD3" s="47"/>
      <c r="AE3" s="47"/>
      <c r="AF3" s="47"/>
      <c r="AG3" s="47"/>
      <c r="AH3" s="47"/>
    </row>
    <row r="4" spans="1:34">
      <c r="A4" s="5" t="s">
        <v>20</v>
      </c>
      <c r="B4" s="2"/>
      <c r="C4" s="6" t="s">
        <v>0</v>
      </c>
      <c r="D4">
        <v>40</v>
      </c>
      <c r="E4">
        <f>$E$2*$D4</f>
        <v>0.01</v>
      </c>
      <c r="F4">
        <f>$G$2*$D4</f>
        <v>0.4</v>
      </c>
      <c r="G4">
        <v>100</v>
      </c>
      <c r="H4" s="4">
        <f>1/F4</f>
        <v>2.5</v>
      </c>
      <c r="I4" s="4">
        <f>E4/(E4^2+F4^2)</f>
        <v>6.2460961898813235E-2</v>
      </c>
      <c r="K4" s="4"/>
      <c r="P4" s="1">
        <v>0</v>
      </c>
      <c r="Q4" s="1">
        <v>240</v>
      </c>
      <c r="R4" s="1">
        <f t="shared" ref="R4:R8" si="1">P4-Q4</f>
        <v>-240</v>
      </c>
      <c r="T4" t="s">
        <v>34</v>
      </c>
      <c r="U4" s="14">
        <v>0</v>
      </c>
      <c r="V4">
        <v>2</v>
      </c>
      <c r="W4">
        <v>100</v>
      </c>
      <c r="X4">
        <f t="shared" si="0"/>
        <v>0</v>
      </c>
      <c r="Z4" s="15"/>
      <c r="AA4" t="s">
        <v>65</v>
      </c>
      <c r="AC4" s="47"/>
      <c r="AD4" s="47"/>
      <c r="AE4" s="47"/>
      <c r="AF4" s="47"/>
      <c r="AG4" s="47"/>
      <c r="AH4" s="47"/>
    </row>
    <row r="5" spans="1:34">
      <c r="A5" s="5" t="s">
        <v>20</v>
      </c>
      <c r="B5" s="2"/>
      <c r="C5" s="7" t="s">
        <v>1</v>
      </c>
      <c r="D5">
        <v>60</v>
      </c>
      <c r="E5">
        <f t="shared" ref="E5:E13" si="2">$E$2*$D5</f>
        <v>1.4999999999999999E-2</v>
      </c>
      <c r="F5">
        <f t="shared" ref="F5:F8" si="3">$G$2*$D5</f>
        <v>0.6</v>
      </c>
      <c r="G5">
        <v>80</v>
      </c>
      <c r="H5" s="4">
        <f t="shared" ref="H5:H12" si="4">1/F5</f>
        <v>1.6666666666666667</v>
      </c>
      <c r="I5" s="4">
        <f t="shared" ref="I5:I9" si="5">E5/(E5^2+F5^2)</f>
        <v>4.1640641265875494E-2</v>
      </c>
      <c r="K5" s="4"/>
      <c r="L5" s="4"/>
      <c r="M5" s="4"/>
      <c r="N5" s="4"/>
      <c r="O5" s="4"/>
      <c r="P5" s="1">
        <v>165</v>
      </c>
      <c r="Q5" s="1">
        <v>40</v>
      </c>
      <c r="R5" s="1">
        <f t="shared" si="1"/>
        <v>125</v>
      </c>
      <c r="T5" t="s">
        <v>91</v>
      </c>
      <c r="U5" s="14">
        <v>0</v>
      </c>
      <c r="V5">
        <v>3</v>
      </c>
      <c r="W5">
        <v>100</v>
      </c>
      <c r="X5">
        <f>U5*(W5*V5-0)</f>
        <v>0</v>
      </c>
      <c r="Z5" s="23"/>
      <c r="AA5" t="s">
        <v>7</v>
      </c>
      <c r="AC5" s="47"/>
      <c r="AD5" s="47"/>
      <c r="AE5" s="48">
        <f>AE7</f>
        <v>93.500459981600812</v>
      </c>
      <c r="AF5" s="47"/>
      <c r="AG5" s="47"/>
      <c r="AH5" s="47"/>
    </row>
    <row r="6" spans="1:34">
      <c r="A6" s="5" t="s">
        <v>20</v>
      </c>
      <c r="B6" s="2"/>
      <c r="C6" s="7" t="s">
        <v>2</v>
      </c>
      <c r="D6">
        <v>20</v>
      </c>
      <c r="E6">
        <f t="shared" si="2"/>
        <v>5.0000000000000001E-3</v>
      </c>
      <c r="F6">
        <f t="shared" si="3"/>
        <v>0.2</v>
      </c>
      <c r="G6">
        <v>100</v>
      </c>
      <c r="H6" s="4">
        <f t="shared" si="4"/>
        <v>5</v>
      </c>
      <c r="I6" s="4">
        <f>E6/(E6^2+F6^2)</f>
        <v>0.12492192379762647</v>
      </c>
      <c r="K6" s="4"/>
      <c r="L6" s="4"/>
      <c r="M6" s="4"/>
      <c r="N6" s="4"/>
      <c r="O6" s="4"/>
      <c r="P6" s="1">
        <v>0</v>
      </c>
      <c r="Q6" s="1">
        <v>160</v>
      </c>
      <c r="R6" s="1">
        <f t="shared" si="1"/>
        <v>-160</v>
      </c>
      <c r="T6" t="s">
        <v>35</v>
      </c>
      <c r="U6" s="14">
        <v>0</v>
      </c>
      <c r="V6">
        <v>1</v>
      </c>
      <c r="W6">
        <v>150</v>
      </c>
      <c r="X6">
        <f t="shared" ref="X6:X18" si="6">W6*U6*V6</f>
        <v>0</v>
      </c>
      <c r="Z6" s="26"/>
      <c r="AA6" t="s">
        <v>87</v>
      </c>
      <c r="AC6" s="47"/>
      <c r="AD6" s="47"/>
      <c r="AE6" s="47"/>
      <c r="AF6" s="47"/>
      <c r="AG6" s="47"/>
      <c r="AH6" s="47"/>
    </row>
    <row r="7" spans="1:34">
      <c r="A7" s="5" t="s">
        <v>20</v>
      </c>
      <c r="B7" s="2"/>
      <c r="C7" s="7" t="s">
        <v>3</v>
      </c>
      <c r="D7">
        <v>20</v>
      </c>
      <c r="E7">
        <f t="shared" si="2"/>
        <v>5.0000000000000001E-3</v>
      </c>
      <c r="F7">
        <f t="shared" si="3"/>
        <v>0.2</v>
      </c>
      <c r="G7">
        <v>100</v>
      </c>
      <c r="H7" s="4">
        <f t="shared" si="4"/>
        <v>5</v>
      </c>
      <c r="I7" s="4">
        <f t="shared" si="5"/>
        <v>0.12492192379762647</v>
      </c>
      <c r="K7" s="4"/>
      <c r="L7" s="4"/>
      <c r="M7" s="4"/>
      <c r="N7" s="4"/>
      <c r="O7" s="4"/>
      <c r="P7" s="1">
        <v>0</v>
      </c>
      <c r="Q7" s="1">
        <v>240</v>
      </c>
      <c r="R7" s="1">
        <f t="shared" si="1"/>
        <v>-240</v>
      </c>
      <c r="T7" t="s">
        <v>36</v>
      </c>
      <c r="U7" s="14">
        <v>0</v>
      </c>
      <c r="V7">
        <v>2</v>
      </c>
      <c r="W7">
        <v>150</v>
      </c>
      <c r="X7">
        <f t="shared" si="6"/>
        <v>0</v>
      </c>
      <c r="Z7" s="30"/>
      <c r="AA7" t="s">
        <v>88</v>
      </c>
      <c r="AC7" s="47"/>
      <c r="AD7" s="47"/>
      <c r="AE7" s="49">
        <f>K47*100</f>
        <v>93.500459981600812</v>
      </c>
      <c r="AF7" s="47"/>
      <c r="AG7" s="47"/>
      <c r="AH7" s="47"/>
    </row>
    <row r="8" spans="1:34">
      <c r="A8" s="5" t="s">
        <v>20</v>
      </c>
      <c r="B8" s="2"/>
      <c r="C8" s="7" t="s">
        <v>4</v>
      </c>
      <c r="D8">
        <v>40</v>
      </c>
      <c r="E8">
        <f t="shared" si="2"/>
        <v>0.01</v>
      </c>
      <c r="F8">
        <f t="shared" si="3"/>
        <v>0.4</v>
      </c>
      <c r="G8">
        <v>100</v>
      </c>
      <c r="H8" s="4">
        <f t="shared" si="4"/>
        <v>2.5</v>
      </c>
      <c r="I8" s="4">
        <f t="shared" si="5"/>
        <v>6.2460961898813235E-2</v>
      </c>
      <c r="L8" s="4"/>
      <c r="M8" s="4"/>
      <c r="N8" s="4"/>
      <c r="O8" s="4"/>
      <c r="P8" s="8">
        <v>545</v>
      </c>
      <c r="Q8" s="8">
        <v>0</v>
      </c>
      <c r="R8" s="8">
        <f t="shared" si="1"/>
        <v>545</v>
      </c>
      <c r="T8" t="s">
        <v>37</v>
      </c>
      <c r="U8" s="14">
        <v>0</v>
      </c>
      <c r="V8">
        <v>3</v>
      </c>
      <c r="W8">
        <v>150</v>
      </c>
      <c r="X8">
        <f t="shared" si="6"/>
        <v>0</v>
      </c>
      <c r="AC8" s="47"/>
      <c r="AD8" s="47"/>
      <c r="AE8" s="47"/>
      <c r="AF8" s="47"/>
      <c r="AG8" s="47"/>
      <c r="AH8" s="47"/>
    </row>
    <row r="9" spans="1:34">
      <c r="A9" s="5" t="s">
        <v>20</v>
      </c>
      <c r="B9" s="2"/>
      <c r="C9" s="7" t="s">
        <v>5</v>
      </c>
      <c r="D9">
        <v>20</v>
      </c>
      <c r="E9">
        <f t="shared" si="2"/>
        <v>5.0000000000000001E-3</v>
      </c>
      <c r="F9">
        <f>$G$2*$D9</f>
        <v>0.2</v>
      </c>
      <c r="G9">
        <f>100</f>
        <v>100</v>
      </c>
      <c r="H9" s="4">
        <f t="shared" ref="H9" si="7">1/F9</f>
        <v>5</v>
      </c>
      <c r="I9" s="4">
        <f t="shared" si="5"/>
        <v>0.12492192379762647</v>
      </c>
      <c r="P9" s="1">
        <f>SUM(P3:P8)</f>
        <v>760</v>
      </c>
      <c r="Q9" s="1">
        <f t="shared" ref="Q9:R10" si="8">SUM(Q2:Q7)</f>
        <v>760</v>
      </c>
      <c r="R9" s="1">
        <f t="shared" si="8"/>
        <v>-545</v>
      </c>
      <c r="T9" t="s">
        <v>38</v>
      </c>
      <c r="U9" s="14">
        <v>1</v>
      </c>
      <c r="V9">
        <v>4</v>
      </c>
      <c r="W9">
        <v>150</v>
      </c>
      <c r="X9">
        <f t="shared" si="6"/>
        <v>600</v>
      </c>
      <c r="AC9" s="47"/>
      <c r="AD9" s="47"/>
      <c r="AE9" s="47"/>
      <c r="AF9" s="50">
        <f>-100*K43</f>
        <v>51.251149954001917</v>
      </c>
      <c r="AG9" s="47"/>
      <c r="AH9" s="47"/>
    </row>
    <row r="10" spans="1:34">
      <c r="A10" s="2" t="s">
        <v>15</v>
      </c>
      <c r="B10" s="2"/>
      <c r="C10" s="7" t="s">
        <v>5</v>
      </c>
      <c r="D10">
        <v>20</v>
      </c>
      <c r="E10">
        <f t="shared" si="2"/>
        <v>5.0000000000000001E-3</v>
      </c>
      <c r="F10">
        <f>$G$2*$D10</f>
        <v>0.2</v>
      </c>
      <c r="G10">
        <f>100</f>
        <v>100</v>
      </c>
      <c r="H10" s="4">
        <f t="shared" si="4"/>
        <v>5</v>
      </c>
      <c r="I10" s="4">
        <f>E10/(E10^2+F10^2)</f>
        <v>0.12492192379762647</v>
      </c>
      <c r="P10" s="1">
        <f>SUM(P3:P8)</f>
        <v>760</v>
      </c>
      <c r="Q10" s="1">
        <f t="shared" si="8"/>
        <v>760</v>
      </c>
      <c r="R10" s="1">
        <f t="shared" si="8"/>
        <v>0</v>
      </c>
      <c r="T10" t="s">
        <v>39</v>
      </c>
      <c r="U10" s="14">
        <v>0</v>
      </c>
      <c r="V10">
        <v>5</v>
      </c>
      <c r="W10">
        <v>150</v>
      </c>
      <c r="X10">
        <f t="shared" si="6"/>
        <v>0</v>
      </c>
      <c r="AC10" s="47"/>
      <c r="AD10" s="47"/>
      <c r="AE10" s="47"/>
      <c r="AF10" s="47"/>
      <c r="AG10" s="47"/>
      <c r="AH10" s="47"/>
    </row>
    <row r="11" spans="1:34">
      <c r="A11" s="2" t="s">
        <v>15</v>
      </c>
      <c r="B11" s="2"/>
      <c r="C11" s="7" t="s">
        <v>11</v>
      </c>
      <c r="D11">
        <v>30</v>
      </c>
      <c r="E11">
        <f t="shared" si="2"/>
        <v>7.4999999999999997E-3</v>
      </c>
      <c r="F11">
        <f>$G$2*$D11</f>
        <v>0.3</v>
      </c>
      <c r="G11">
        <f>100</f>
        <v>100</v>
      </c>
      <c r="H11" s="4">
        <f t="shared" si="4"/>
        <v>3.3333333333333335</v>
      </c>
      <c r="I11" s="4">
        <f>E11/(E11^2+F11^2)</f>
        <v>8.3281282531750989E-2</v>
      </c>
      <c r="P11" s="4"/>
      <c r="Q11" s="4"/>
      <c r="T11" t="s">
        <v>40</v>
      </c>
      <c r="U11" s="14">
        <v>0</v>
      </c>
      <c r="V11">
        <v>1</v>
      </c>
      <c r="W11">
        <v>150</v>
      </c>
      <c r="X11">
        <f t="shared" si="6"/>
        <v>0</v>
      </c>
      <c r="AC11" s="47"/>
      <c r="AD11" s="47"/>
      <c r="AE11" s="47"/>
      <c r="AF11" s="47"/>
      <c r="AG11" s="47"/>
      <c r="AH11" s="47"/>
    </row>
    <row r="12" spans="1:34">
      <c r="A12" s="2" t="s">
        <v>15</v>
      </c>
      <c r="B12" s="2"/>
      <c r="C12" s="7" t="s">
        <v>12</v>
      </c>
      <c r="D12">
        <v>30</v>
      </c>
      <c r="E12">
        <f t="shared" si="2"/>
        <v>7.4999999999999997E-3</v>
      </c>
      <c r="F12">
        <f>$G$2*$D12</f>
        <v>0.3</v>
      </c>
      <c r="G12">
        <f>100</f>
        <v>100</v>
      </c>
      <c r="H12" s="4">
        <f t="shared" si="4"/>
        <v>3.3333333333333335</v>
      </c>
      <c r="I12" s="4">
        <f>E12/(E12^2+F12^2)</f>
        <v>8.3281282531750989E-2</v>
      </c>
      <c r="T12" t="s">
        <v>41</v>
      </c>
      <c r="U12" s="14">
        <v>1</v>
      </c>
      <c r="V12">
        <v>2</v>
      </c>
      <c r="W12">
        <v>150</v>
      </c>
      <c r="X12">
        <f t="shared" si="6"/>
        <v>300</v>
      </c>
      <c r="AC12" s="47"/>
      <c r="AD12" s="47"/>
      <c r="AE12" s="47"/>
      <c r="AF12" s="47"/>
      <c r="AG12" s="47"/>
      <c r="AH12" s="47"/>
    </row>
    <row r="13" spans="1:34">
      <c r="A13" s="2" t="s">
        <v>15</v>
      </c>
      <c r="B13" s="2"/>
      <c r="C13" s="7" t="s">
        <v>13</v>
      </c>
      <c r="D13">
        <v>61</v>
      </c>
      <c r="E13">
        <f t="shared" si="2"/>
        <v>1.525E-2</v>
      </c>
      <c r="F13">
        <f>$G$2*$D13</f>
        <v>0.61</v>
      </c>
      <c r="G13">
        <f>100</f>
        <v>100</v>
      </c>
      <c r="H13" s="4">
        <f>1/F13</f>
        <v>1.639344262295082</v>
      </c>
      <c r="I13" s="4">
        <f>E13/(E13^2+F13^2)</f>
        <v>4.0958007802500487E-2</v>
      </c>
      <c r="T13" t="s">
        <v>42</v>
      </c>
      <c r="U13" s="14">
        <v>0</v>
      </c>
      <c r="V13">
        <v>3</v>
      </c>
      <c r="W13">
        <v>150</v>
      </c>
      <c r="X13">
        <f t="shared" si="6"/>
        <v>0</v>
      </c>
      <c r="AC13" s="47"/>
      <c r="AD13" s="49">
        <f>K46*100</f>
        <v>62.000919963201653</v>
      </c>
      <c r="AE13" s="47"/>
      <c r="AF13" s="47"/>
      <c r="AG13" s="47"/>
      <c r="AH13" s="47"/>
    </row>
    <row r="14" spans="1:34">
      <c r="A14" s="2"/>
      <c r="B14" s="2"/>
      <c r="C14" s="7"/>
      <c r="H14" s="4"/>
      <c r="T14" t="s">
        <v>43</v>
      </c>
      <c r="U14" s="14">
        <v>0</v>
      </c>
      <c r="V14">
        <v>4</v>
      </c>
      <c r="W14">
        <v>150</v>
      </c>
      <c r="X14">
        <f t="shared" si="6"/>
        <v>0</v>
      </c>
      <c r="AC14" s="47"/>
      <c r="AD14" s="47"/>
      <c r="AE14" s="47"/>
      <c r="AF14" s="47"/>
      <c r="AG14" s="47"/>
      <c r="AH14" s="47"/>
    </row>
    <row r="15" spans="1:34">
      <c r="T15" t="s">
        <v>44</v>
      </c>
      <c r="U15" s="14">
        <v>0</v>
      </c>
      <c r="V15">
        <v>5</v>
      </c>
      <c r="W15">
        <v>150</v>
      </c>
      <c r="X15">
        <f t="shared" si="6"/>
        <v>0</v>
      </c>
      <c r="AC15" s="47"/>
      <c r="AD15" s="47"/>
      <c r="AE15" s="47"/>
      <c r="AF15" s="47"/>
      <c r="AG15" s="47"/>
      <c r="AH15" s="47"/>
    </row>
    <row r="16" spans="1:34">
      <c r="T16" t="s">
        <v>45</v>
      </c>
      <c r="U16" s="14">
        <v>0</v>
      </c>
      <c r="V16">
        <v>1</v>
      </c>
      <c r="W16">
        <v>305</v>
      </c>
      <c r="X16">
        <f t="shared" si="6"/>
        <v>0</v>
      </c>
      <c r="AC16" s="47"/>
      <c r="AD16" s="47"/>
      <c r="AE16" s="47"/>
      <c r="AF16" s="47"/>
      <c r="AG16" s="47"/>
      <c r="AH16" s="47"/>
    </row>
    <row r="17" spans="1:34">
      <c r="T17" t="s">
        <v>46</v>
      </c>
      <c r="U17" s="14">
        <v>0</v>
      </c>
      <c r="V17">
        <v>2</v>
      </c>
      <c r="W17">
        <v>305</v>
      </c>
      <c r="X17">
        <f t="shared" si="6"/>
        <v>0</v>
      </c>
      <c r="AC17" s="47"/>
      <c r="AD17" s="47"/>
      <c r="AE17" s="47"/>
      <c r="AF17" s="47"/>
      <c r="AG17" s="47"/>
      <c r="AH17" s="47"/>
    </row>
    <row r="18" spans="1:34">
      <c r="T18" t="s">
        <v>47</v>
      </c>
      <c r="U18" s="14">
        <v>0</v>
      </c>
      <c r="V18">
        <v>3</v>
      </c>
      <c r="W18">
        <v>305</v>
      </c>
      <c r="X18">
        <f t="shared" si="6"/>
        <v>0</v>
      </c>
      <c r="AC18" s="47"/>
      <c r="AD18" s="47"/>
      <c r="AE18" s="47"/>
      <c r="AF18" s="47"/>
      <c r="AG18" s="47"/>
      <c r="AH18" s="48">
        <f>-K44*100</f>
        <v>31.747930082796728</v>
      </c>
    </row>
    <row r="19" spans="1:34">
      <c r="X19">
        <f>SUM(X3:X18)</f>
        <v>1000</v>
      </c>
      <c r="AC19" s="47"/>
      <c r="AD19" s="47"/>
      <c r="AE19" s="47"/>
      <c r="AF19" s="50">
        <f>K48*100</f>
        <v>3.6292548298068326</v>
      </c>
      <c r="AG19" s="47"/>
      <c r="AH19" s="47"/>
    </row>
    <row r="20" spans="1:34" ht="17.25">
      <c r="A20" t="s">
        <v>14</v>
      </c>
      <c r="G20" s="46" t="s">
        <v>109</v>
      </c>
      <c r="I20" s="4" t="s">
        <v>86</v>
      </c>
      <c r="J20" t="s">
        <v>66</v>
      </c>
      <c r="K20" t="s">
        <v>67</v>
      </c>
      <c r="L20" t="s">
        <v>97</v>
      </c>
      <c r="M20" t="s">
        <v>68</v>
      </c>
      <c r="N20" t="s">
        <v>69</v>
      </c>
      <c r="O20" t="s">
        <v>70</v>
      </c>
      <c r="P20" t="s">
        <v>71</v>
      </c>
      <c r="Q20" t="s">
        <v>72</v>
      </c>
      <c r="R20" t="s">
        <v>73</v>
      </c>
      <c r="S20" t="s">
        <v>74</v>
      </c>
      <c r="T20" t="s">
        <v>75</v>
      </c>
      <c r="U20" t="s">
        <v>76</v>
      </c>
      <c r="V20" t="s">
        <v>77</v>
      </c>
      <c r="W20" t="s">
        <v>78</v>
      </c>
      <c r="X20" t="s">
        <v>79</v>
      </c>
      <c r="Y20" t="s">
        <v>80</v>
      </c>
      <c r="Z20" t="s">
        <v>61</v>
      </c>
      <c r="AA20" t="s">
        <v>7</v>
      </c>
      <c r="AC20" s="47"/>
      <c r="AD20" s="47"/>
      <c r="AE20" s="47"/>
      <c r="AF20" s="47"/>
      <c r="AG20" s="47"/>
      <c r="AH20" s="47"/>
    </row>
    <row r="21" spans="1:34">
      <c r="A21" s="20">
        <f>_B12+_B14+_B15</f>
        <v>9.1666666666666679</v>
      </c>
      <c r="B21" s="20">
        <f>-_B12</f>
        <v>-2.5</v>
      </c>
      <c r="C21" s="20">
        <v>0</v>
      </c>
      <c r="D21" s="20">
        <f>-_B14</f>
        <v>-1.6666666666666667</v>
      </c>
      <c r="E21" s="20">
        <f>-_B15</f>
        <v>-5</v>
      </c>
      <c r="F21" s="38">
        <v>0</v>
      </c>
      <c r="G21" s="29">
        <v>0.10599816007359722</v>
      </c>
      <c r="H21" s="21" t="s">
        <v>26</v>
      </c>
      <c r="I21" s="21">
        <f t="array" ref="I21:I26">MMULT(A21:F26,G21:G26)</f>
        <v>-0.30000000000000016</v>
      </c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>
        <f>-R3/100</f>
        <v>0.3</v>
      </c>
      <c r="AA21" s="23">
        <f t="shared" ref="AA21:AA26" si="9">SUM(I21:Z21)</f>
        <v>0</v>
      </c>
      <c r="AC21" s="47"/>
      <c r="AD21" s="47"/>
      <c r="AE21" s="47"/>
      <c r="AF21" s="47"/>
      <c r="AG21" s="47"/>
      <c r="AH21" s="47"/>
    </row>
    <row r="22" spans="1:34">
      <c r="A22" s="22">
        <f>B21</f>
        <v>-2.5</v>
      </c>
      <c r="B22" s="22">
        <f>_B12+_B23+_B24</f>
        <v>10</v>
      </c>
      <c r="C22" s="22">
        <f>-_B23</f>
        <v>-5</v>
      </c>
      <c r="D22" s="22">
        <f>-_B24</f>
        <v>-2.5</v>
      </c>
      <c r="E22" s="22">
        <v>0</v>
      </c>
      <c r="F22" s="39">
        <v>0</v>
      </c>
      <c r="G22" s="29">
        <v>0.31100275988960491</v>
      </c>
      <c r="H22" t="s">
        <v>27</v>
      </c>
      <c r="I22">
        <v>1.1688132474701038</v>
      </c>
      <c r="M22">
        <f>-M26</f>
        <v>0</v>
      </c>
      <c r="N22">
        <f t="shared" ref="N22:P22" si="10">-N26</f>
        <v>0</v>
      </c>
      <c r="O22">
        <f t="shared" si="10"/>
        <v>0</v>
      </c>
      <c r="P22" s="40">
        <f t="shared" si="10"/>
        <v>-3.5688132474701026</v>
      </c>
      <c r="Q22">
        <f>-Q26</f>
        <v>-2.312964634635743E-16</v>
      </c>
      <c r="Z22">
        <f>-R4/100</f>
        <v>2.4</v>
      </c>
      <c r="AA22" s="24">
        <f t="shared" si="9"/>
        <v>0</v>
      </c>
      <c r="AC22" s="47"/>
      <c r="AD22" s="47"/>
      <c r="AE22" s="51">
        <f>K33*100</f>
        <v>356.88132474701024</v>
      </c>
      <c r="AF22" s="47"/>
      <c r="AG22" s="47"/>
      <c r="AH22" s="47"/>
    </row>
    <row r="23" spans="1:34">
      <c r="A23" s="22">
        <f>C21</f>
        <v>0</v>
      </c>
      <c r="B23" s="22">
        <f>C22</f>
        <v>-5</v>
      </c>
      <c r="C23" s="22">
        <f>_B23+_B35</f>
        <v>10</v>
      </c>
      <c r="D23" s="22">
        <v>0</v>
      </c>
      <c r="E23" s="22">
        <f>-_B35</f>
        <v>-5</v>
      </c>
      <c r="F23" s="39">
        <v>0</v>
      </c>
      <c r="G23" s="29">
        <v>0.18700091996320162</v>
      </c>
      <c r="H23" t="s">
        <v>28</v>
      </c>
      <c r="I23">
        <v>0.31499540018399186</v>
      </c>
      <c r="J23" s="30">
        <f>_B35*G27</f>
        <v>0.93500459981600814</v>
      </c>
      <c r="K23">
        <f>_B35* G28*2</f>
        <v>0</v>
      </c>
      <c r="L23">
        <f>_B35*G29*3</f>
        <v>7.8062556418956319E-17</v>
      </c>
      <c r="Z23">
        <f t="shared" ref="Z23:Z26" si="11">-R5/100</f>
        <v>-1.25</v>
      </c>
      <c r="AA23" s="24">
        <f t="shared" si="9"/>
        <v>0</v>
      </c>
      <c r="AC23" s="47"/>
      <c r="AD23" s="47"/>
      <c r="AE23" s="47"/>
      <c r="AF23" s="47"/>
      <c r="AG23" s="47"/>
      <c r="AH23" s="47"/>
    </row>
    <row r="24" spans="1:34">
      <c r="A24" s="22">
        <f>D21</f>
        <v>-1.6666666666666667</v>
      </c>
      <c r="B24" s="22">
        <f>D22</f>
        <v>-2.5</v>
      </c>
      <c r="C24" s="22">
        <f>D23</f>
        <v>0</v>
      </c>
      <c r="D24" s="22">
        <f>_B14+_B24</f>
        <v>4.166666666666667</v>
      </c>
      <c r="E24" s="22">
        <v>0</v>
      </c>
      <c r="F24" s="39">
        <v>0</v>
      </c>
      <c r="G24" s="29">
        <v>0.29648574057037758</v>
      </c>
      <c r="H24" t="s">
        <v>29</v>
      </c>
      <c r="I24">
        <v>0.281186752529899</v>
      </c>
      <c r="R24">
        <f t="shared" ref="R24:V24" si="12">-R26</f>
        <v>0</v>
      </c>
      <c r="S24">
        <f t="shared" si="12"/>
        <v>-1.8811867525298986</v>
      </c>
      <c r="T24">
        <f t="shared" si="12"/>
        <v>0</v>
      </c>
      <c r="U24">
        <f t="shared" si="12"/>
        <v>0</v>
      </c>
      <c r="V24">
        <f t="shared" si="12"/>
        <v>5.7824115865893574E-17</v>
      </c>
      <c r="Z24">
        <f t="shared" si="11"/>
        <v>1.6</v>
      </c>
      <c r="AA24" s="24">
        <f t="shared" si="9"/>
        <v>0</v>
      </c>
      <c r="AC24" s="47"/>
      <c r="AD24" s="47"/>
      <c r="AE24" s="47"/>
      <c r="AF24" s="50">
        <f>K36*100</f>
        <v>188.11867525298987</v>
      </c>
      <c r="AG24" s="47"/>
      <c r="AH24" s="47"/>
    </row>
    <row r="25" spans="1:34">
      <c r="A25" s="22">
        <f>E21</f>
        <v>-5</v>
      </c>
      <c r="B25" s="22">
        <v>0</v>
      </c>
      <c r="C25" s="22">
        <f>-_B35</f>
        <v>-5</v>
      </c>
      <c r="D25" s="22">
        <f>E24</f>
        <v>0</v>
      </c>
      <c r="E25" s="22">
        <f>_B15</f>
        <v>5</v>
      </c>
      <c r="F25" s="39">
        <v>0</v>
      </c>
      <c r="G25" s="29">
        <v>0</v>
      </c>
      <c r="H25" t="s">
        <v>30</v>
      </c>
      <c r="I25">
        <v>-1.4649954001839942</v>
      </c>
      <c r="J25" s="30">
        <f>-J23</f>
        <v>-0.93500459981600814</v>
      </c>
      <c r="K25">
        <f t="shared" ref="K25:L25" si="13">-K23</f>
        <v>0</v>
      </c>
      <c r="L25">
        <f t="shared" si="13"/>
        <v>-7.8062556418956319E-17</v>
      </c>
      <c r="W25">
        <f>-W26</f>
        <v>5.6876179540223185E-18</v>
      </c>
      <c r="X25">
        <f>-X26</f>
        <v>0</v>
      </c>
      <c r="Y25">
        <f>-Y26</f>
        <v>0</v>
      </c>
      <c r="Z25">
        <f t="shared" si="11"/>
        <v>2.4</v>
      </c>
      <c r="AA25" s="24">
        <f t="shared" si="9"/>
        <v>0</v>
      </c>
      <c r="AC25" s="47"/>
      <c r="AD25" s="47"/>
      <c r="AE25" s="47"/>
      <c r="AF25" s="47"/>
      <c r="AG25" s="47"/>
      <c r="AH25" s="47"/>
    </row>
    <row r="26" spans="1:34">
      <c r="A26" s="37">
        <v>0</v>
      </c>
      <c r="B26" s="37">
        <v>0</v>
      </c>
      <c r="C26" s="37">
        <v>0</v>
      </c>
      <c r="D26" s="37">
        <v>0</v>
      </c>
      <c r="E26" s="37">
        <v>0</v>
      </c>
      <c r="F26" s="37">
        <v>0</v>
      </c>
      <c r="G26" s="29">
        <v>0.57866375344986265</v>
      </c>
      <c r="H26" s="16" t="s">
        <v>32</v>
      </c>
      <c r="I26" s="16">
        <v>0</v>
      </c>
      <c r="J26" s="16"/>
      <c r="K26" s="16"/>
      <c r="L26" s="16"/>
      <c r="M26" s="16">
        <f>_B62*G30</f>
        <v>0</v>
      </c>
      <c r="N26" s="16">
        <f>_B62*G31*2</f>
        <v>0</v>
      </c>
      <c r="O26" s="16">
        <f>_B62*G32*3</f>
        <v>0</v>
      </c>
      <c r="P26" s="41">
        <f>_B62*G33*4</f>
        <v>3.5688132474701026</v>
      </c>
      <c r="Q26" s="16">
        <f>_B62*G34*5</f>
        <v>2.312964634635743E-16</v>
      </c>
      <c r="R26" s="16">
        <f>_B64*G35*1</f>
        <v>0</v>
      </c>
      <c r="S26" s="41">
        <f>_B64*G36*2</f>
        <v>1.8811867525298986</v>
      </c>
      <c r="T26" s="16">
        <f>_B64*G37*3</f>
        <v>0</v>
      </c>
      <c r="U26" s="16">
        <f>_B64*G38*4</f>
        <v>0</v>
      </c>
      <c r="V26" s="16">
        <f>_B64*G39*5</f>
        <v>-5.7824115865893574E-17</v>
      </c>
      <c r="W26" s="16">
        <f>_B65*G39*1</f>
        <v>-5.6876179540223185E-18</v>
      </c>
      <c r="X26" s="16">
        <f>_B65*2*G41</f>
        <v>0</v>
      </c>
      <c r="Y26" s="16">
        <f>_B65*3*G42</f>
        <v>0</v>
      </c>
      <c r="Z26" s="16">
        <f t="shared" si="11"/>
        <v>-5.45</v>
      </c>
      <c r="AA26" s="25">
        <f t="shared" si="9"/>
        <v>0</v>
      </c>
      <c r="AC26" s="47"/>
      <c r="AD26" s="47"/>
      <c r="AE26" s="47"/>
      <c r="AF26" s="47"/>
      <c r="AG26" s="47"/>
      <c r="AH26" s="47"/>
    </row>
    <row r="27" spans="1:34" ht="17.25">
      <c r="A27" t="s">
        <v>108</v>
      </c>
      <c r="E27" s="10">
        <v>1</v>
      </c>
      <c r="F27">
        <f>_B35</f>
        <v>5</v>
      </c>
      <c r="G27" s="29">
        <v>0.18700091996320162</v>
      </c>
      <c r="H27" s="36" t="s">
        <v>92</v>
      </c>
      <c r="I27" s="19" t="s">
        <v>66</v>
      </c>
      <c r="J27" s="17">
        <f t="shared" ref="J27:J51" si="14">-L27</f>
        <v>-1</v>
      </c>
      <c r="K27" s="34">
        <f>G27*F27*E27</f>
        <v>0.93500459981600814</v>
      </c>
      <c r="L27" s="10">
        <f t="shared" ref="L27:L42" si="15">E27*U3</f>
        <v>1</v>
      </c>
      <c r="N27" s="32">
        <f>$I$9*(1-COS(G27))*E27</f>
        <v>2.17786122374229E-3</v>
      </c>
      <c r="AC27" s="47"/>
      <c r="AD27" s="47"/>
      <c r="AE27" s="47"/>
      <c r="AF27" s="47"/>
      <c r="AG27" s="47"/>
      <c r="AH27" s="47"/>
    </row>
    <row r="28" spans="1:34">
      <c r="E28" s="10">
        <v>2</v>
      </c>
      <c r="F28">
        <f>_B35</f>
        <v>5</v>
      </c>
      <c r="G28" s="29">
        <v>0</v>
      </c>
      <c r="H28" s="36" t="s">
        <v>93</v>
      </c>
      <c r="I28" s="19" t="s">
        <v>67</v>
      </c>
      <c r="J28" s="17">
        <f t="shared" si="14"/>
        <v>0</v>
      </c>
      <c r="K28" s="27">
        <f t="shared" ref="K28:K42" si="16">G28*F28*E28</f>
        <v>0</v>
      </c>
      <c r="L28" s="10">
        <f t="shared" si="15"/>
        <v>0</v>
      </c>
      <c r="N28" s="32">
        <f t="shared" ref="N28:N29" si="17">$I$9*(1-COS(G28))*E28</f>
        <v>0</v>
      </c>
      <c r="S28" s="11"/>
      <c r="T28" t="s">
        <v>62</v>
      </c>
      <c r="AC28" s="47"/>
      <c r="AD28" s="47"/>
      <c r="AE28" s="47"/>
      <c r="AF28" s="47"/>
      <c r="AG28" s="47"/>
      <c r="AH28" s="47"/>
    </row>
    <row r="29" spans="1:34">
      <c r="E29" s="10">
        <v>3</v>
      </c>
      <c r="F29">
        <f>_B35</f>
        <v>5</v>
      </c>
      <c r="G29" s="29">
        <v>5.2041704279304213E-18</v>
      </c>
      <c r="H29" s="36" t="s">
        <v>94</v>
      </c>
      <c r="I29" s="19" t="s">
        <v>97</v>
      </c>
      <c r="J29" s="17">
        <f t="shared" si="14"/>
        <v>0</v>
      </c>
      <c r="K29" s="27">
        <f t="shared" si="16"/>
        <v>7.8062556418956319E-17</v>
      </c>
      <c r="L29" s="10">
        <f t="shared" si="15"/>
        <v>0</v>
      </c>
      <c r="N29" s="32">
        <f t="shared" si="17"/>
        <v>0</v>
      </c>
      <c r="T29" s="28">
        <f>SUM(U3:U5)</f>
        <v>1</v>
      </c>
      <c r="U29" s="9" t="s">
        <v>63</v>
      </c>
      <c r="V29" s="9">
        <v>1</v>
      </c>
      <c r="AC29" s="47"/>
      <c r="AD29" s="47"/>
      <c r="AE29" s="47"/>
      <c r="AF29" s="47"/>
      <c r="AG29" s="47"/>
      <c r="AH29" s="47"/>
    </row>
    <row r="30" spans="1:34">
      <c r="E30" s="10">
        <v>1</v>
      </c>
      <c r="F30">
        <f>_B62</f>
        <v>3.3333333333333335</v>
      </c>
      <c r="G30" s="29">
        <v>0</v>
      </c>
      <c r="H30" t="s">
        <v>48</v>
      </c>
      <c r="I30" s="19" t="s">
        <v>68</v>
      </c>
      <c r="J30" s="17">
        <f t="shared" si="14"/>
        <v>0</v>
      </c>
      <c r="K30" s="27">
        <f t="shared" si="16"/>
        <v>0</v>
      </c>
      <c r="L30" s="10">
        <f t="shared" si="15"/>
        <v>0</v>
      </c>
      <c r="N30" s="32">
        <f>$I$11*(1-COS(G30))*E30</f>
        <v>0</v>
      </c>
      <c r="T30" s="28">
        <f>SUM(U6:U10)</f>
        <v>1</v>
      </c>
      <c r="U30" s="9" t="s">
        <v>63</v>
      </c>
      <c r="V30" s="9">
        <v>1</v>
      </c>
      <c r="AC30" s="47"/>
      <c r="AD30" s="47"/>
      <c r="AE30" s="47"/>
      <c r="AF30" s="47"/>
      <c r="AG30" s="47"/>
      <c r="AH30" s="47"/>
    </row>
    <row r="31" spans="1:34">
      <c r="E31" s="10">
        <v>2</v>
      </c>
      <c r="F31">
        <f>_B62</f>
        <v>3.3333333333333335</v>
      </c>
      <c r="G31" s="29">
        <v>0</v>
      </c>
      <c r="H31" t="s">
        <v>49</v>
      </c>
      <c r="I31" s="19" t="s">
        <v>69</v>
      </c>
      <c r="J31" s="17">
        <f t="shared" si="14"/>
        <v>0</v>
      </c>
      <c r="K31" s="27">
        <f t="shared" si="16"/>
        <v>0</v>
      </c>
      <c r="L31" s="10">
        <f t="shared" si="15"/>
        <v>0</v>
      </c>
      <c r="N31" s="32">
        <f t="shared" ref="N31:N34" si="18">$I$11*(1-COS(G31))*E31</f>
        <v>0</v>
      </c>
      <c r="T31" s="28">
        <f>SUM(U11:U15)</f>
        <v>1</v>
      </c>
      <c r="U31" s="9" t="s">
        <v>63</v>
      </c>
      <c r="V31" s="9">
        <v>1</v>
      </c>
      <c r="AC31" s="47"/>
      <c r="AD31" s="47"/>
      <c r="AE31" s="47"/>
      <c r="AF31" s="47"/>
      <c r="AG31" s="47"/>
      <c r="AH31" s="47"/>
    </row>
    <row r="32" spans="1:34">
      <c r="E32" s="10">
        <v>3</v>
      </c>
      <c r="F32">
        <f>_B62</f>
        <v>3.3333333333333335</v>
      </c>
      <c r="G32" s="29">
        <v>0</v>
      </c>
      <c r="H32" t="s">
        <v>50</v>
      </c>
      <c r="I32" s="19" t="s">
        <v>70</v>
      </c>
      <c r="J32" s="17">
        <f t="shared" si="14"/>
        <v>0</v>
      </c>
      <c r="K32" s="27">
        <f t="shared" si="16"/>
        <v>0</v>
      </c>
      <c r="L32" s="10">
        <f t="shared" si="15"/>
        <v>0</v>
      </c>
      <c r="N32" s="32">
        <f t="shared" si="18"/>
        <v>0</v>
      </c>
      <c r="T32" s="28">
        <f>SUM(U16:U18)</f>
        <v>0</v>
      </c>
      <c r="U32" s="9" t="s">
        <v>63</v>
      </c>
      <c r="V32" s="9">
        <v>1</v>
      </c>
      <c r="AC32" s="47"/>
      <c r="AD32" s="47"/>
      <c r="AE32" s="47"/>
      <c r="AF32" s="47"/>
      <c r="AG32" s="47"/>
      <c r="AH32" s="47"/>
    </row>
    <row r="33" spans="4:25">
      <c r="E33" s="10">
        <v>4</v>
      </c>
      <c r="F33">
        <f>_B62</f>
        <v>3.3333333333333335</v>
      </c>
      <c r="G33" s="29">
        <v>0.26766099356025769</v>
      </c>
      <c r="H33" t="s">
        <v>51</v>
      </c>
      <c r="I33" s="19" t="s">
        <v>71</v>
      </c>
      <c r="J33" s="17">
        <f t="shared" si="14"/>
        <v>-4</v>
      </c>
      <c r="K33" s="34">
        <f t="shared" si="16"/>
        <v>3.5688132474701026</v>
      </c>
      <c r="L33" s="10">
        <f t="shared" si="15"/>
        <v>4</v>
      </c>
      <c r="N33" s="32">
        <f t="shared" si="18"/>
        <v>1.1861871005761693E-2</v>
      </c>
      <c r="S33" s="11"/>
      <c r="T33" s="12"/>
    </row>
    <row r="34" spans="4:25">
      <c r="E34" s="10">
        <v>5</v>
      </c>
      <c r="F34">
        <f>_B62</f>
        <v>3.3333333333333335</v>
      </c>
      <c r="G34" s="29">
        <v>1.3877787807814457E-17</v>
      </c>
      <c r="H34" t="s">
        <v>52</v>
      </c>
      <c r="I34" s="19" t="s">
        <v>72</v>
      </c>
      <c r="J34" s="17">
        <f t="shared" si="14"/>
        <v>0</v>
      </c>
      <c r="K34" s="27">
        <f t="shared" si="16"/>
        <v>2.312964634635743E-16</v>
      </c>
      <c r="L34" s="10">
        <f t="shared" si="15"/>
        <v>0</v>
      </c>
      <c r="N34" s="32">
        <f t="shared" si="18"/>
        <v>0</v>
      </c>
    </row>
    <row r="35" spans="4:25">
      <c r="E35" s="10">
        <v>1</v>
      </c>
      <c r="F35">
        <f>_B64</f>
        <v>3.3333333333333335</v>
      </c>
      <c r="G35" s="29">
        <v>0</v>
      </c>
      <c r="H35" t="s">
        <v>53</v>
      </c>
      <c r="I35" s="19" t="s">
        <v>73</v>
      </c>
      <c r="J35" s="17">
        <f t="shared" si="14"/>
        <v>0</v>
      </c>
      <c r="K35" s="27">
        <f t="shared" si="16"/>
        <v>0</v>
      </c>
      <c r="L35" s="10">
        <f t="shared" si="15"/>
        <v>0</v>
      </c>
      <c r="N35" s="32">
        <f>$I$12*(1-COS(G35))*E35</f>
        <v>0</v>
      </c>
    </row>
    <row r="36" spans="4:25">
      <c r="E36" s="10">
        <v>2</v>
      </c>
      <c r="F36">
        <f>_B64</f>
        <v>3.3333333333333335</v>
      </c>
      <c r="G36" s="29">
        <v>0.2821780128794848</v>
      </c>
      <c r="H36" t="s">
        <v>54</v>
      </c>
      <c r="I36" s="19" t="s">
        <v>74</v>
      </c>
      <c r="J36" s="17">
        <f t="shared" si="14"/>
        <v>-2</v>
      </c>
      <c r="K36" s="34">
        <f t="shared" si="16"/>
        <v>1.8811867525298986</v>
      </c>
      <c r="L36" s="10">
        <f t="shared" si="15"/>
        <v>2</v>
      </c>
      <c r="N36" s="32">
        <f t="shared" ref="N36:N39" si="19">$I$12*(1-COS(G36))*E36</f>
        <v>6.5873407242057159E-3</v>
      </c>
      <c r="S36" s="11"/>
      <c r="T36" s="12"/>
    </row>
    <row r="37" spans="4:25">
      <c r="E37" s="10">
        <v>3</v>
      </c>
      <c r="F37">
        <f>_B64</f>
        <v>3.3333333333333335</v>
      </c>
      <c r="G37" s="29">
        <v>0</v>
      </c>
      <c r="H37" t="s">
        <v>55</v>
      </c>
      <c r="I37" s="19" t="s">
        <v>75</v>
      </c>
      <c r="J37" s="17">
        <f t="shared" si="14"/>
        <v>0</v>
      </c>
      <c r="K37" s="27">
        <f t="shared" si="16"/>
        <v>0</v>
      </c>
      <c r="L37" s="10">
        <f t="shared" si="15"/>
        <v>0</v>
      </c>
      <c r="N37" s="32">
        <f t="shared" si="19"/>
        <v>0</v>
      </c>
    </row>
    <row r="38" spans="4:25">
      <c r="E38" s="10">
        <v>4</v>
      </c>
      <c r="F38">
        <f>_B64</f>
        <v>3.3333333333333335</v>
      </c>
      <c r="G38" s="29">
        <v>0</v>
      </c>
      <c r="H38" t="s">
        <v>56</v>
      </c>
      <c r="I38" s="19" t="s">
        <v>76</v>
      </c>
      <c r="J38" s="17">
        <f t="shared" si="14"/>
        <v>0</v>
      </c>
      <c r="K38" s="27">
        <f t="shared" si="16"/>
        <v>0</v>
      </c>
      <c r="L38" s="10">
        <f t="shared" si="15"/>
        <v>0</v>
      </c>
      <c r="N38" s="32">
        <f t="shared" si="19"/>
        <v>0</v>
      </c>
    </row>
    <row r="39" spans="4:25">
      <c r="E39" s="10">
        <v>5</v>
      </c>
      <c r="F39">
        <f>_B64</f>
        <v>3.3333333333333335</v>
      </c>
      <c r="G39" s="29">
        <v>-3.4694469519536142E-18</v>
      </c>
      <c r="H39" t="s">
        <v>57</v>
      </c>
      <c r="I39" s="19" t="s">
        <v>77</v>
      </c>
      <c r="J39" s="17">
        <f t="shared" si="14"/>
        <v>0</v>
      </c>
      <c r="K39" s="27">
        <f t="shared" si="16"/>
        <v>-5.7824115865893574E-17</v>
      </c>
      <c r="L39" s="10">
        <f t="shared" si="15"/>
        <v>0</v>
      </c>
      <c r="N39" s="32">
        <f t="shared" si="19"/>
        <v>0</v>
      </c>
      <c r="Y39" t="s">
        <v>110</v>
      </c>
    </row>
    <row r="40" spans="4:25">
      <c r="E40" s="10">
        <v>1</v>
      </c>
      <c r="F40">
        <f>_B65</f>
        <v>1.639344262295082</v>
      </c>
      <c r="G40" s="29">
        <v>0</v>
      </c>
      <c r="H40" t="s">
        <v>58</v>
      </c>
      <c r="I40" s="19" t="s">
        <v>78</v>
      </c>
      <c r="J40" s="17">
        <f t="shared" si="14"/>
        <v>0</v>
      </c>
      <c r="K40" s="27">
        <f t="shared" si="16"/>
        <v>0</v>
      </c>
      <c r="L40" s="10">
        <f t="shared" si="15"/>
        <v>0</v>
      </c>
      <c r="N40" s="32">
        <f>$I$13*(1-COS(G40))*E40</f>
        <v>0</v>
      </c>
      <c r="Q40" t="s">
        <v>90</v>
      </c>
      <c r="Y40" t="s">
        <v>110</v>
      </c>
    </row>
    <row r="41" spans="4:25">
      <c r="E41" s="10">
        <v>2</v>
      </c>
      <c r="F41">
        <f>_B65</f>
        <v>1.639344262295082</v>
      </c>
      <c r="G41" s="29">
        <v>0</v>
      </c>
      <c r="H41" t="s">
        <v>59</v>
      </c>
      <c r="I41" s="19" t="s">
        <v>79</v>
      </c>
      <c r="J41" s="17">
        <f t="shared" si="14"/>
        <v>0</v>
      </c>
      <c r="K41" s="27">
        <f t="shared" si="16"/>
        <v>0</v>
      </c>
      <c r="L41" s="10">
        <f t="shared" si="15"/>
        <v>0</v>
      </c>
      <c r="N41" s="32">
        <f t="shared" ref="N41:N42" si="20">$I$13*(1-COS(G41))*E41</f>
        <v>0</v>
      </c>
      <c r="Y41" t="s">
        <v>110</v>
      </c>
    </row>
    <row r="42" spans="4:25">
      <c r="E42" s="10">
        <v>3</v>
      </c>
      <c r="F42">
        <f>_B65</f>
        <v>1.639344262295082</v>
      </c>
      <c r="G42" s="29">
        <v>0</v>
      </c>
      <c r="H42" t="s">
        <v>60</v>
      </c>
      <c r="I42" s="19" t="s">
        <v>80</v>
      </c>
      <c r="J42" s="17">
        <f t="shared" si="14"/>
        <v>0</v>
      </c>
      <c r="K42" s="27">
        <f t="shared" si="16"/>
        <v>0</v>
      </c>
      <c r="L42" s="10">
        <f t="shared" si="15"/>
        <v>0</v>
      </c>
      <c r="N42" s="32">
        <f t="shared" si="20"/>
        <v>0</v>
      </c>
      <c r="Y42" t="s">
        <v>110</v>
      </c>
    </row>
    <row r="43" spans="4:25">
      <c r="D43" s="44" t="s">
        <v>102</v>
      </c>
      <c r="E43" t="s">
        <v>99</v>
      </c>
      <c r="F43" t="s">
        <v>100</v>
      </c>
      <c r="G43" s="36" t="s">
        <v>101</v>
      </c>
      <c r="I43" s="19" t="s">
        <v>81</v>
      </c>
      <c r="J43" s="17">
        <f t="shared" si="14"/>
        <v>-1</v>
      </c>
      <c r="K43" s="34">
        <f>_B12*($G$21-$G$22)</f>
        <v>-0.51251149954001918</v>
      </c>
      <c r="L43">
        <v>1</v>
      </c>
      <c r="N43" s="32">
        <f>I4*(1-COS(G21-G22))</f>
        <v>1.3079295354361852E-3</v>
      </c>
      <c r="S43" s="11"/>
      <c r="T43" s="12"/>
      <c r="Y43" t="s">
        <v>110</v>
      </c>
    </row>
    <row r="44" spans="4:25">
      <c r="D44" t="s">
        <v>103</v>
      </c>
      <c r="I44" s="19" t="s">
        <v>82</v>
      </c>
      <c r="J44" s="43">
        <f t="shared" si="14"/>
        <v>-0.8</v>
      </c>
      <c r="K44" s="34">
        <f>_B14*($G$21-$G$24)</f>
        <v>-0.31747930082796727</v>
      </c>
      <c r="L44">
        <v>0.8</v>
      </c>
      <c r="N44" s="32">
        <f>I5*(1-COS(G21-G24))</f>
        <v>7.5319448349673028E-4</v>
      </c>
      <c r="S44" s="11"/>
      <c r="T44" s="12"/>
      <c r="Y44" t="s">
        <v>110</v>
      </c>
    </row>
    <row r="45" spans="4:25">
      <c r="I45" s="19" t="s">
        <v>83</v>
      </c>
      <c r="J45" s="17">
        <f t="shared" si="14"/>
        <v>-1</v>
      </c>
      <c r="K45" s="34">
        <f>_B15*($G$21-$G$25)</f>
        <v>0.52999080036798607</v>
      </c>
      <c r="L45">
        <v>1</v>
      </c>
      <c r="N45" s="32">
        <f>I6*(1-COS(G21-G25))</f>
        <v>7.011301665975179E-4</v>
      </c>
      <c r="S45" s="11"/>
      <c r="T45" s="12"/>
      <c r="Y45" t="s">
        <v>110</v>
      </c>
    </row>
    <row r="46" spans="4:25">
      <c r="I46" s="19" t="s">
        <v>84</v>
      </c>
      <c r="J46" s="17">
        <f t="shared" si="14"/>
        <v>-1</v>
      </c>
      <c r="K46" s="34">
        <f>_B23*($G$22-$G$23)</f>
        <v>0.62000919963201651</v>
      </c>
      <c r="L46">
        <v>1</v>
      </c>
      <c r="N46" s="32">
        <f>I7*(1-COS(G22-G23))</f>
        <v>9.5919821676271506E-4</v>
      </c>
      <c r="S46" s="11"/>
      <c r="T46" s="12"/>
      <c r="Y46" t="s">
        <v>110</v>
      </c>
    </row>
    <row r="47" spans="4:25">
      <c r="I47" s="19" t="s">
        <v>98</v>
      </c>
      <c r="J47" s="17">
        <f t="shared" si="14"/>
        <v>-1</v>
      </c>
      <c r="K47" s="34">
        <f>_B35*(G23-G25)</f>
        <v>0.93500459981600814</v>
      </c>
      <c r="L47">
        <v>1</v>
      </c>
      <c r="N47" s="32">
        <f>E9*(1-COS(G23-G24))</f>
        <v>2.9937392151396792E-5</v>
      </c>
      <c r="S47" s="11"/>
      <c r="T47" s="12"/>
      <c r="Y47" t="s">
        <v>110</v>
      </c>
    </row>
    <row r="48" spans="4:25">
      <c r="I48" s="19" t="s">
        <v>85</v>
      </c>
      <c r="J48" s="18">
        <f t="shared" si="14"/>
        <v>-1</v>
      </c>
      <c r="K48" s="35">
        <f>_B24*($G$22-$G$24)</f>
        <v>3.6292548298068328E-2</v>
      </c>
      <c r="L48" s="16">
        <v>1</v>
      </c>
      <c r="N48" s="33">
        <f>I8*(1-COS(G22-G24))</f>
        <v>6.5815162042480463E-6</v>
      </c>
      <c r="S48" s="11"/>
      <c r="T48" s="12"/>
      <c r="Y48" t="s">
        <v>110</v>
      </c>
    </row>
    <row r="49" spans="9:25">
      <c r="I49" s="45" t="s">
        <v>104</v>
      </c>
      <c r="J49" s="10">
        <f t="shared" si="14"/>
        <v>0</v>
      </c>
      <c r="K49" s="42">
        <f>G26-G22-G30-G31-G32-G33-G34</f>
        <v>4.163336342344337E-17</v>
      </c>
      <c r="L49" s="10">
        <f>1-SUM(U6:U10)</f>
        <v>0</v>
      </c>
      <c r="N49" s="32">
        <f>SUM(N27:N48)*2</f>
        <v>4.8770088528716983E-2</v>
      </c>
      <c r="O49" s="32" t="s">
        <v>89</v>
      </c>
      <c r="Y49" t="s">
        <v>110</v>
      </c>
    </row>
    <row r="50" spans="9:25">
      <c r="I50" s="45" t="s">
        <v>105</v>
      </c>
      <c r="J50" s="10">
        <f t="shared" si="14"/>
        <v>0</v>
      </c>
      <c r="K50" s="42">
        <f>G26-G24-G35-G36-G37-G38-G39</f>
        <v>2.8102520310824275E-16</v>
      </c>
      <c r="L50" s="10">
        <f>1-SUM(U11:U15)</f>
        <v>0</v>
      </c>
      <c r="Y50" t="s">
        <v>110</v>
      </c>
    </row>
    <row r="51" spans="9:25">
      <c r="I51" s="45" t="s">
        <v>106</v>
      </c>
      <c r="J51" s="10">
        <f t="shared" si="14"/>
        <v>-1</v>
      </c>
      <c r="K51" s="42">
        <f>G26-G25-G40-G41-G42</f>
        <v>0.57866375344986265</v>
      </c>
      <c r="L51" s="10">
        <f>1-SUM(U16:U18)</f>
        <v>1</v>
      </c>
      <c r="M51" s="4"/>
      <c r="Y51" t="s">
        <v>110</v>
      </c>
    </row>
    <row r="52" spans="9:25">
      <c r="I52" s="45" t="s">
        <v>107</v>
      </c>
      <c r="J52">
        <v>0</v>
      </c>
      <c r="K52" s="31">
        <f>G23-G25-G27-G28-G29</f>
        <v>-5.2041704279304213E-18</v>
      </c>
      <c r="L52" s="10">
        <f>1-SUM(U3:U5)</f>
        <v>0</v>
      </c>
      <c r="Y52" t="s">
        <v>110</v>
      </c>
    </row>
    <row r="53" spans="9:25">
      <c r="Y53" t="s">
        <v>110</v>
      </c>
    </row>
    <row r="54" spans="9:25">
      <c r="Y54" t="s">
        <v>110</v>
      </c>
    </row>
    <row r="55" spans="9:25">
      <c r="Y55" t="s">
        <v>110</v>
      </c>
    </row>
    <row r="56" spans="9:25">
      <c r="Y56" t="s">
        <v>110</v>
      </c>
    </row>
    <row r="57" spans="9:25">
      <c r="Y57" t="s">
        <v>110</v>
      </c>
    </row>
    <row r="58" spans="9:25">
      <c r="Y58" t="s">
        <v>110</v>
      </c>
    </row>
    <row r="59" spans="9:25">
      <c r="Y59" t="s">
        <v>110</v>
      </c>
    </row>
    <row r="60" spans="9:25">
      <c r="Y60" t="s">
        <v>110</v>
      </c>
    </row>
    <row r="4513" spans="9:9">
      <c r="I4513">
        <v>0</v>
      </c>
    </row>
  </sheetData>
  <phoneticPr fontId="8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9</vt:i4>
      </vt:variant>
    </vt:vector>
  </HeadingPairs>
  <TitlesOfParts>
    <vt:vector size="10" baseType="lpstr">
      <vt:lpstr>garver 6 Mixed-Integer</vt:lpstr>
      <vt:lpstr>'garver 6 Mixed-Integer'!_B12</vt:lpstr>
      <vt:lpstr>'garver 6 Mixed-Integer'!_B14</vt:lpstr>
      <vt:lpstr>'garver 6 Mixed-Integer'!_B15</vt:lpstr>
      <vt:lpstr>'garver 6 Mixed-Integer'!_B23</vt:lpstr>
      <vt:lpstr>'garver 6 Mixed-Integer'!_B24</vt:lpstr>
      <vt:lpstr>'garver 6 Mixed-Integer'!_B35</vt:lpstr>
      <vt:lpstr>_B62</vt:lpstr>
      <vt:lpstr>_B64</vt:lpstr>
      <vt:lpstr>_B65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VaioPC</dc:creator>
  <cp:lastModifiedBy>juan diego sierra garcia</cp:lastModifiedBy>
  <dcterms:created xsi:type="dcterms:W3CDTF">2018-04-11T16:32:22Z</dcterms:created>
  <dcterms:modified xsi:type="dcterms:W3CDTF">2026-10-14T02:17:37Z</dcterms:modified>
</cp:coreProperties>
</file>