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d9e0039cbe6e5533/Documentos/TRABAJOS MAESTRIA/1 SEMESTRE/SISTEMAS DE POTENCIA/PROYECTO 3/"/>
    </mc:Choice>
  </mc:AlternateContent>
  <xr:revisionPtr revIDLastSave="43" documentId="11_05026D4D027FC3CC70D9D1DA45F4A69356F56ABE" xr6:coauthVersionLast="47" xr6:coauthVersionMax="47" xr10:uidLastSave="{BCF6C3CA-69A8-4FAA-90FA-C6CD9576BB66}"/>
  <bookViews>
    <workbookView xWindow="-120" yWindow="-120" windowWidth="29040" windowHeight="15720" xr2:uid="{00000000-000D-0000-FFFF-FFFF00000000}"/>
  </bookViews>
  <sheets>
    <sheet name="Nodos" sheetId="1" r:id="rId1"/>
    <sheet name="Lineas_Existentes" sheetId="2" r:id="rId2"/>
    <sheet name="Corredores_Candida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2" i="2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<sst xmlns="http://schemas.openxmlformats.org/spreadsheetml/2006/main" count="17" uniqueCount="12">
  <si>
    <t>Nodo</t>
  </si>
  <si>
    <t>es_referencia</t>
  </si>
  <si>
    <t>PG_MW</t>
  </si>
  <si>
    <t>PL_MW</t>
  </si>
  <si>
    <t>Inyeccion_Neta_pu</t>
  </si>
  <si>
    <t>Origen</t>
  </si>
  <si>
    <t>Destino</t>
  </si>
  <si>
    <t>Distancia_millas</t>
  </si>
  <si>
    <t>Reactancia_pu</t>
  </si>
  <si>
    <t>Capacidad_pu</t>
  </si>
  <si>
    <t>Costo_Inversion</t>
  </si>
  <si>
    <t>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</si>
</sst>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30" zoomScaleNormal="130" workbookViewId="0">
      <selection activeCell="E14" sqref="E14"/>
    </sheetView>
  </sheetViews>
  <sheetFormatPr baseColWidth="10" defaultColWidth="9.140625" defaultRowHeight="15" x14ac:dyDescent="0.25"/>
  <cols>
    <col min="5" max="5" width="1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200</v>
      </c>
      <c r="D2">
        <v>50</v>
      </c>
      <c r="E2">
        <f>+(C2-D2)/100</f>
        <v>1.5</v>
      </c>
    </row>
    <row r="3" spans="1:5" x14ac:dyDescent="0.25">
      <c r="A3">
        <v>2</v>
      </c>
      <c r="B3">
        <v>0</v>
      </c>
      <c r="C3">
        <v>0</v>
      </c>
      <c r="D3">
        <v>150</v>
      </c>
      <c r="E3">
        <f t="shared" ref="E3:E9" si="0">+(C3-D3)/100</f>
        <v>-1.5</v>
      </c>
    </row>
    <row r="4" spans="1:5" x14ac:dyDescent="0.25">
      <c r="A4">
        <v>3</v>
      </c>
      <c r="B4">
        <v>0</v>
      </c>
      <c r="C4">
        <v>200</v>
      </c>
      <c r="D4">
        <v>50</v>
      </c>
      <c r="E4">
        <f t="shared" si="0"/>
        <v>1.5</v>
      </c>
    </row>
    <row r="5" spans="1:5" x14ac:dyDescent="0.25">
      <c r="A5">
        <v>4</v>
      </c>
      <c r="B5">
        <v>0</v>
      </c>
      <c r="C5">
        <v>0</v>
      </c>
      <c r="D5">
        <v>100</v>
      </c>
      <c r="E5">
        <f t="shared" si="0"/>
        <v>-1</v>
      </c>
    </row>
    <row r="6" spans="1:5" x14ac:dyDescent="0.25">
      <c r="A6">
        <v>5</v>
      </c>
      <c r="B6">
        <v>0</v>
      </c>
      <c r="C6">
        <v>0</v>
      </c>
      <c r="D6">
        <v>120</v>
      </c>
      <c r="E6">
        <f t="shared" si="0"/>
        <v>-1.2</v>
      </c>
    </row>
    <row r="7" spans="1:5" x14ac:dyDescent="0.25">
      <c r="A7">
        <v>6</v>
      </c>
      <c r="B7">
        <v>0</v>
      </c>
      <c r="C7">
        <v>300</v>
      </c>
      <c r="D7">
        <v>100</v>
      </c>
      <c r="E7">
        <f t="shared" si="0"/>
        <v>2</v>
      </c>
    </row>
    <row r="8" spans="1:5" x14ac:dyDescent="0.25">
      <c r="A8">
        <v>7</v>
      </c>
      <c r="B8">
        <v>0</v>
      </c>
      <c r="C8">
        <v>0</v>
      </c>
      <c r="D8">
        <v>280</v>
      </c>
      <c r="E8">
        <f t="shared" si="0"/>
        <v>-2.8</v>
      </c>
    </row>
    <row r="9" spans="1:5" x14ac:dyDescent="0.25">
      <c r="A9">
        <v>8</v>
      </c>
      <c r="B9">
        <v>0</v>
      </c>
      <c r="C9">
        <v>250</v>
      </c>
      <c r="D9">
        <v>100</v>
      </c>
      <c r="E9">
        <f t="shared" si="0"/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145" zoomScaleNormal="145" workbookViewId="0">
      <selection activeCell="D14" sqref="D14"/>
    </sheetView>
  </sheetViews>
  <sheetFormatPr baseColWidth="10" defaultColWidth="9.140625" defaultRowHeight="15" x14ac:dyDescent="0.25"/>
  <cols>
    <col min="5" max="5" width="13.2851562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>
        <v>1</v>
      </c>
      <c r="B2">
        <v>2</v>
      </c>
      <c r="C2">
        <v>20</v>
      </c>
      <c r="D2">
        <f>+C2/100</f>
        <v>0.2</v>
      </c>
      <c r="E2">
        <v>1</v>
      </c>
    </row>
    <row r="3" spans="1:5" x14ac:dyDescent="0.25">
      <c r="A3">
        <v>1</v>
      </c>
      <c r="B3">
        <v>3</v>
      </c>
      <c r="C3">
        <v>40</v>
      </c>
      <c r="D3">
        <f t="shared" ref="D3:D9" si="0">+C3/100</f>
        <v>0.4</v>
      </c>
      <c r="E3">
        <v>1</v>
      </c>
    </row>
    <row r="4" spans="1:5" x14ac:dyDescent="0.25">
      <c r="A4">
        <v>2</v>
      </c>
      <c r="B4">
        <v>4</v>
      </c>
      <c r="C4">
        <v>20</v>
      </c>
      <c r="D4">
        <f t="shared" si="0"/>
        <v>0.2</v>
      </c>
      <c r="E4">
        <v>1</v>
      </c>
    </row>
    <row r="5" spans="1:5" x14ac:dyDescent="0.25">
      <c r="A5">
        <v>3</v>
      </c>
      <c r="B5">
        <v>4</v>
      </c>
      <c r="C5">
        <v>30</v>
      </c>
      <c r="D5">
        <f t="shared" si="0"/>
        <v>0.3</v>
      </c>
      <c r="E5">
        <v>1</v>
      </c>
    </row>
    <row r="6" spans="1:5" x14ac:dyDescent="0.25">
      <c r="A6">
        <v>4</v>
      </c>
      <c r="B6">
        <v>5</v>
      </c>
      <c r="C6">
        <v>20</v>
      </c>
      <c r="D6">
        <f t="shared" si="0"/>
        <v>0.2</v>
      </c>
      <c r="E6">
        <v>1.5</v>
      </c>
    </row>
    <row r="7" spans="1:5" x14ac:dyDescent="0.25">
      <c r="A7">
        <v>5</v>
      </c>
      <c r="B7">
        <v>6</v>
      </c>
      <c r="C7">
        <v>20</v>
      </c>
      <c r="D7">
        <f t="shared" si="0"/>
        <v>0.2</v>
      </c>
      <c r="E7">
        <v>2</v>
      </c>
    </row>
    <row r="8" spans="1:5" x14ac:dyDescent="0.25">
      <c r="A8">
        <v>6</v>
      </c>
      <c r="B8">
        <v>7</v>
      </c>
      <c r="C8">
        <v>30</v>
      </c>
      <c r="D8">
        <f t="shared" si="0"/>
        <v>0.3</v>
      </c>
      <c r="E8">
        <v>1.5</v>
      </c>
    </row>
    <row r="9" spans="1:5" x14ac:dyDescent="0.25">
      <c r="A9">
        <v>7</v>
      </c>
      <c r="B9">
        <v>8</v>
      </c>
      <c r="C9">
        <v>20</v>
      </c>
      <c r="D9">
        <f t="shared" si="0"/>
        <v>0.2</v>
      </c>
      <c r="E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="145" zoomScaleNormal="145" workbookViewId="0">
      <selection activeCell="E4" sqref="E4"/>
    </sheetView>
  </sheetViews>
  <sheetFormatPr baseColWidth="10" defaultColWidth="9.140625" defaultRowHeight="15" x14ac:dyDescent="0.2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>
        <v>1</v>
      </c>
      <c r="B2">
        <v>4</v>
      </c>
      <c r="C2">
        <v>40</v>
      </c>
      <c r="D2">
        <v>0.4</v>
      </c>
      <c r="E2">
        <v>1</v>
      </c>
      <c r="F2">
        <v>200</v>
      </c>
      <c r="G2">
        <v>10</v>
      </c>
    </row>
    <row r="3" spans="1:7" x14ac:dyDescent="0.25">
      <c r="A3">
        <v>2</v>
      </c>
      <c r="B3">
        <v>5</v>
      </c>
      <c r="C3">
        <v>30</v>
      </c>
      <c r="D3">
        <v>0.3</v>
      </c>
      <c r="E3">
        <v>1.5</v>
      </c>
      <c r="F3">
        <v>150</v>
      </c>
      <c r="G3">
        <v>10</v>
      </c>
    </row>
    <row r="4" spans="1:7" x14ac:dyDescent="0.25">
      <c r="A4">
        <v>3</v>
      </c>
      <c r="B4">
        <v>6</v>
      </c>
      <c r="C4">
        <v>50</v>
      </c>
      <c r="D4">
        <v>0.5</v>
      </c>
      <c r="E4">
        <v>2</v>
      </c>
      <c r="F4">
        <v>250</v>
      </c>
      <c r="G4">
        <v>10</v>
      </c>
    </row>
    <row r="5" spans="1:7" x14ac:dyDescent="0.25">
      <c r="A5">
        <v>4</v>
      </c>
      <c r="B5">
        <v>7</v>
      </c>
      <c r="C5">
        <v>40</v>
      </c>
      <c r="D5">
        <v>0.4</v>
      </c>
      <c r="E5">
        <v>1.5</v>
      </c>
      <c r="F5">
        <v>200</v>
      </c>
      <c r="G5">
        <v>10</v>
      </c>
    </row>
    <row r="6" spans="1:7" x14ac:dyDescent="0.25">
      <c r="A6">
        <v>5</v>
      </c>
      <c r="B6">
        <v>8</v>
      </c>
      <c r="C6">
        <v>30</v>
      </c>
      <c r="D6">
        <v>0.3</v>
      </c>
      <c r="E6">
        <v>1.5</v>
      </c>
      <c r="F6">
        <v>150</v>
      </c>
      <c r="G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Nodos</vt:lpstr>
      <vt:lpstr>Lineas_Existentes</vt:lpstr>
      <vt:lpstr>Corredores_Candidatos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sierra garcia</cp:lastModifiedBy>
  <dcterms:created xsi:type="dcterms:W3CDTF">2026-10-14T04:04:45Z</dcterms:created>
  <dcterms:modified xsi:type="dcterms:W3CDTF">2026-10-15T02:03:59Z</dcterms:modified>
</cp:coreProperties>
</file>